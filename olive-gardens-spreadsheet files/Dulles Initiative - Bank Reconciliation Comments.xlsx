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umelo\Downloads\"/>
    </mc:Choice>
  </mc:AlternateContent>
  <xr:revisionPtr revIDLastSave="0" documentId="11_2599100302775900754E45FF6BB719323AA23716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Bank Reconciliation Summar" sheetId="1" r:id="rId1"/>
    <sheet name="Bank Statement" sheetId="2" r:id="rId2"/>
    <sheet name="Statement Exce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C5rffUboqUzW0qNynHZu27LmlNg=="/>
    </ext>
  </extLst>
</workbook>
</file>

<file path=xl/calcChain.xml><?xml version="1.0" encoding="utf-8"?>
<calcChain xmlns="http://schemas.openxmlformats.org/spreadsheetml/2006/main">
  <c r="H9" i="2" l="1"/>
  <c r="H10" i="2" s="1"/>
  <c r="D152" i="1"/>
  <c r="D44" i="1"/>
  <c r="D1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ID#AAAAoPwYqOk
Sharon Vimbai Murisa    (2023-01-30 09:43:32)
correct igure is 140 beginning September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VNOQl96lZexvHN9C4HBLVVhcc6w=="/>
    </ext>
  </extLst>
</comments>
</file>

<file path=xl/sharedStrings.xml><?xml version="1.0" encoding="utf-8"?>
<sst xmlns="http://schemas.openxmlformats.org/spreadsheetml/2006/main" count="476" uniqueCount="193">
  <si>
    <t>Balance in Xero</t>
  </si>
  <si>
    <t>Notes:</t>
  </si>
  <si>
    <t>Plus Outstanding Payments</t>
  </si>
  <si>
    <t xml:space="preserve">i) Confirm that all expenses recorded from Jan 2022 to Jan 2023 are included </t>
  </si>
  <si>
    <t>Date</t>
  </si>
  <si>
    <t>Description</t>
  </si>
  <si>
    <t>Reference</t>
  </si>
  <si>
    <t>Amount</t>
  </si>
  <si>
    <t>Is there a receipt/ invoice</t>
  </si>
  <si>
    <t xml:space="preserve">XERO Status </t>
  </si>
  <si>
    <t>ii) If there is a missing expense that was ommitted insert and mark orange</t>
  </si>
  <si>
    <t>Payment: Borehole Fixtures</t>
  </si>
  <si>
    <t>Borehole Repairs</t>
  </si>
  <si>
    <t>Reconciled</t>
  </si>
  <si>
    <t>iii) We require all receipts for payments as record -these need to be saved in XERO as uploads. Kindly gather any receipts / invoices</t>
  </si>
  <si>
    <t>Payment: Electrician</t>
  </si>
  <si>
    <t>Electrician Labour fee</t>
  </si>
  <si>
    <t>Payment: Repairs</t>
  </si>
  <si>
    <t>Unit 4 &amp; 8 Repairs</t>
  </si>
  <si>
    <t>Payment: Ncube</t>
  </si>
  <si>
    <t>Jan Salary Ncube</t>
  </si>
  <si>
    <t>Inspection</t>
  </si>
  <si>
    <t>Payment: Rods Hire</t>
  </si>
  <si>
    <t>Rods Hire</t>
  </si>
  <si>
    <t>Ncube Feb Salary</t>
  </si>
  <si>
    <t>Lala Repairs</t>
  </si>
  <si>
    <t>Repairs Unit 2</t>
  </si>
  <si>
    <t>Mar Salary Ncube</t>
  </si>
  <si>
    <t>Payment: Council</t>
  </si>
  <si>
    <t>Council March</t>
  </si>
  <si>
    <t>Mar Prop Tax</t>
  </si>
  <si>
    <t>Payment: Tools</t>
  </si>
  <si>
    <t>Wheelbarrow</t>
  </si>
  <si>
    <t>Repairs</t>
  </si>
  <si>
    <t xml:space="preserve">Payment: Ncube </t>
  </si>
  <si>
    <t>Ncube April Salary</t>
  </si>
  <si>
    <t>Ncube May Salary</t>
  </si>
  <si>
    <t>Council Utilities (April &amp; May)</t>
  </si>
  <si>
    <t>Council JUNE</t>
  </si>
  <si>
    <t>June Salary Ncube</t>
  </si>
  <si>
    <t>Repairs June</t>
  </si>
  <si>
    <t>Painting cost</t>
  </si>
  <si>
    <t>Painting</t>
  </si>
  <si>
    <t>Ncube July Salary</t>
  </si>
  <si>
    <t>Ncube August Salary</t>
  </si>
  <si>
    <t xml:space="preserve">Council </t>
  </si>
  <si>
    <t>Ncube SALARY Sept</t>
  </si>
  <si>
    <t>Payment :Ncube</t>
  </si>
  <si>
    <t>Ncube Travel Local (sept)</t>
  </si>
  <si>
    <t>Create bill</t>
  </si>
  <si>
    <t>Ncube Salary</t>
  </si>
  <si>
    <t>Ncube Travel Substinence (oct)</t>
  </si>
  <si>
    <t>Fixtures</t>
  </si>
  <si>
    <t>Council</t>
  </si>
  <si>
    <t>nov fixtures</t>
  </si>
  <si>
    <t>prop tax: Processing papers for title deeds</t>
  </si>
  <si>
    <t>Salary Ncube</t>
  </si>
  <si>
    <t>Payment: Lala</t>
  </si>
  <si>
    <t>Lala Final Payment</t>
  </si>
  <si>
    <t>December Rates</t>
  </si>
  <si>
    <t>Unit 8 Geyser</t>
  </si>
  <si>
    <t>Labour for geyser</t>
  </si>
  <si>
    <t>Total Outstanding Payments</t>
  </si>
  <si>
    <t>Less Outstanding Receipts</t>
  </si>
  <si>
    <t>Payment: Unit 2 (Tafadzwa Maposa)</t>
  </si>
  <si>
    <t>Jan Rent Unit 2</t>
  </si>
  <si>
    <t>Payment: Unit 3 ( Linda Ndarangwa)</t>
  </si>
  <si>
    <t>Jan Rent Unit 3</t>
  </si>
  <si>
    <t>Payment: Unit 4 (Denis Sajeni)</t>
  </si>
  <si>
    <t>Unit 4 Jan Rent</t>
  </si>
  <si>
    <t>Payment: Unit 5 (Precious Chidarikire)</t>
  </si>
  <si>
    <t>Unit 5 Jan Rent</t>
  </si>
  <si>
    <t>Payment: Unit 6 (Paul Kembo)</t>
  </si>
  <si>
    <t>Unit 6 Jan Rent</t>
  </si>
  <si>
    <t>Payment: Unit 7 (Antonaitte Kaochilima)</t>
  </si>
  <si>
    <t>Unit 7 January Rent</t>
  </si>
  <si>
    <t>Payment: Unit 8 ( Clotilder Mukwangariva)ang</t>
  </si>
  <si>
    <t>Jan Rent Unit 8</t>
  </si>
  <si>
    <t>Payment: Unit 1 (Campion Chako)</t>
  </si>
  <si>
    <t>Unit 1 Feb Rent</t>
  </si>
  <si>
    <t>Feb Rent Unit 2</t>
  </si>
  <si>
    <t>Feb Rent Unit 3</t>
  </si>
  <si>
    <t>Feb Rent Unit 4</t>
  </si>
  <si>
    <t>Feb Rent Unit 5</t>
  </si>
  <si>
    <t>Unit 6 Feb Rent</t>
  </si>
  <si>
    <t>Edit reference in XERO</t>
  </si>
  <si>
    <t>Feb Rent Unit 7</t>
  </si>
  <si>
    <t>Feb Rent Unit 8</t>
  </si>
  <si>
    <t>Mar Rent Unit 1</t>
  </si>
  <si>
    <t>Unit 2 Mar Rent</t>
  </si>
  <si>
    <t>Unit 3 Mar Rent</t>
  </si>
  <si>
    <t>Payment: multiple items</t>
  </si>
  <si>
    <t>Unit 4 Mar Rent</t>
  </si>
  <si>
    <t>posted as multiple items?</t>
  </si>
  <si>
    <t>Unit 5 Mar Rent</t>
  </si>
  <si>
    <t>Mar Rent Unit 6</t>
  </si>
  <si>
    <t>Unit 7 Mar Rent</t>
  </si>
  <si>
    <t>Unit 8 Mar Rent</t>
  </si>
  <si>
    <t>April Rent Unit 1</t>
  </si>
  <si>
    <t>Apr Rent Unit 3</t>
  </si>
  <si>
    <t>Apr Rent Unit 4</t>
  </si>
  <si>
    <t>Unit 5 Apr Rent</t>
  </si>
  <si>
    <t>Apr Rent Unit 6</t>
  </si>
  <si>
    <t>Apr Rent Unit 7</t>
  </si>
  <si>
    <t>Apr Rent Unit 8</t>
  </si>
  <si>
    <t>May Rent Unit 1</t>
  </si>
  <si>
    <t>May Rent Unit 2</t>
  </si>
  <si>
    <t>May Rent Unit 4</t>
  </si>
  <si>
    <t>May Rent Unit 5</t>
  </si>
  <si>
    <t>May Rent Unit 7</t>
  </si>
  <si>
    <t>May Rent Unit 8</t>
  </si>
  <si>
    <t>May Rent Unit 3</t>
  </si>
  <si>
    <t>June Rent Unit 1</t>
  </si>
  <si>
    <t>June Rent Unit 2</t>
  </si>
  <si>
    <t>June Rent Unit 3</t>
  </si>
  <si>
    <t>June Rent Unit 4</t>
  </si>
  <si>
    <t>June Rent Unit 7</t>
  </si>
  <si>
    <t>June Rent Unit 5</t>
  </si>
  <si>
    <t>June Rent Unit 8</t>
  </si>
  <si>
    <t>unit 6 june rent</t>
  </si>
  <si>
    <t>Unit 2 July Rent</t>
  </si>
  <si>
    <t>Unit 1 July Rent</t>
  </si>
  <si>
    <t>Unit 3 July Rent</t>
  </si>
  <si>
    <t>Unit 4 July Rent</t>
  </si>
  <si>
    <t>Unit 5 July Rent</t>
  </si>
  <si>
    <t>Unit 7 July Rent</t>
  </si>
  <si>
    <t>Unit 8 July Rent</t>
  </si>
  <si>
    <t>Unit 6 July rent</t>
  </si>
  <si>
    <t>Unit 1 August Rent</t>
  </si>
  <si>
    <t>Unit 2 August Rent</t>
  </si>
  <si>
    <t>Unit 3 August Rent</t>
  </si>
  <si>
    <t>Unit 4 August Rent</t>
  </si>
  <si>
    <t>Unit 5 August Rent</t>
  </si>
  <si>
    <t>Unit 7 August Rent</t>
  </si>
  <si>
    <t>August Rent Unit 8</t>
  </si>
  <si>
    <t>Payment: Unit 3 (Lomagundi College)</t>
  </si>
  <si>
    <t xml:space="preserve">Aug Rent &amp; Deposit </t>
  </si>
  <si>
    <t xml:space="preserve">Balance paid </t>
  </si>
  <si>
    <t>Payment: Unit 6 Lomagundi College</t>
  </si>
  <si>
    <t xml:space="preserve">Unit 6 September Rent </t>
  </si>
  <si>
    <t>Unit 7 Sept Rent</t>
  </si>
  <si>
    <t>Unit 5 Sept Rent</t>
  </si>
  <si>
    <t>Unit 4 Sept rent</t>
  </si>
  <si>
    <t>Unit 3 Sept rent</t>
  </si>
  <si>
    <t>Unit 2 Sept rent</t>
  </si>
  <si>
    <t>Unit 1 sept rent</t>
  </si>
  <si>
    <t>Oct Rent unit 3</t>
  </si>
  <si>
    <t>Unit 2 October rent</t>
  </si>
  <si>
    <t>Unit 8 Oct rent</t>
  </si>
  <si>
    <t>September Rent</t>
  </si>
  <si>
    <t>Unit 8 Oct Rent</t>
  </si>
  <si>
    <t>Unit 5 Oct Rent</t>
  </si>
  <si>
    <t>Unit 1 October Rent</t>
  </si>
  <si>
    <t>Unit 7 October Rent</t>
  </si>
  <si>
    <t xml:space="preserve">Lomagundi Oct Rent </t>
  </si>
  <si>
    <t>Unit 4 October rent</t>
  </si>
  <si>
    <t>Unit 7 November Rent</t>
  </si>
  <si>
    <t>Unit 6 Nov Rent</t>
  </si>
  <si>
    <t>Unit 5 Nov Rent</t>
  </si>
  <si>
    <t>Unit 4 Nov Rent</t>
  </si>
  <si>
    <t>Unit 3 Nov Rent</t>
  </si>
  <si>
    <t>Unit 2 Nov Rent</t>
  </si>
  <si>
    <t>Unit 1 November rent</t>
  </si>
  <si>
    <t>Unit 8 November rent</t>
  </si>
  <si>
    <t>Unit 8 Dec Rent</t>
  </si>
  <si>
    <t>Unit 7 Dec Rent</t>
  </si>
  <si>
    <t>Unit 6 Dec Rent</t>
  </si>
  <si>
    <t>Unit 5 Dec Rent</t>
  </si>
  <si>
    <t>Unit 4 Dec Rent</t>
  </si>
  <si>
    <t xml:space="preserve">Unit 2 Dec rent </t>
  </si>
  <si>
    <t>Unit 1 Dec Rent</t>
  </si>
  <si>
    <t>Add reference on XERO</t>
  </si>
  <si>
    <t>Unit 1 Jan Rent</t>
  </si>
  <si>
    <t>Unit 8 Jan Rent</t>
  </si>
  <si>
    <t>Payment: Gletwyn Cottage ( Clem &amp; Debra Mphepo )</t>
  </si>
  <si>
    <t>January Rent payment</t>
  </si>
  <si>
    <t>Total Outstanding Receipts</t>
  </si>
  <si>
    <t>Statement Balance</t>
  </si>
  <si>
    <t>Bank Statement</t>
  </si>
  <si>
    <t>Cash On Hand</t>
  </si>
  <si>
    <t>Dulles Initiative 1</t>
  </si>
  <si>
    <t>From 1 January 2023 to 27 January 2023</t>
  </si>
  <si>
    <t>Date imported into Xero</t>
  </si>
  <si>
    <t>Source</t>
  </si>
  <si>
    <t>Balance</t>
  </si>
  <si>
    <t>Opening Balance</t>
  </si>
  <si>
    <t/>
  </si>
  <si>
    <t>Yes</t>
  </si>
  <si>
    <t>User</t>
  </si>
  <si>
    <t>Closing Balance</t>
  </si>
  <si>
    <t>Statement Exceptions</t>
  </si>
  <si>
    <t>Reason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</si>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</sst>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[$$-809]#,##0.00;\-[$$-809]#,##0.00"/>
    <numFmt numFmtId="166" formatCode="mmm\ yyyy"/>
  </numFmts>
  <fonts count="19" x14ac:knownFonts="1">
    <font>
      <sz val="10"/>
      <color rgb="FF000000"/>
      <name val="Arial"/>
      <scheme val="minor"/>
    </font>
    <font>
      <b/>
      <sz val="10"/>
      <color theme="1"/>
      <name val="Calibri"/>
    </font>
    <font>
      <i/>
      <sz val="10"/>
      <color theme="1"/>
      <name val="Calibri"/>
    </font>
    <font>
      <sz val="10"/>
      <color theme="1"/>
      <name val="Calibri"/>
    </font>
    <font>
      <i/>
      <sz val="10"/>
      <color theme="1"/>
      <name val="Arial"/>
    </font>
    <font>
      <sz val="10"/>
      <color theme="1"/>
      <name val="Arial"/>
    </font>
    <font>
      <i/>
      <sz val="10"/>
      <color rgb="FF38761D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name val="Arial"/>
    </font>
    <font>
      <sz val="10"/>
      <color theme="1"/>
      <name val="Calibri"/>
    </font>
    <font>
      <sz val="10"/>
      <color rgb="FF38761D"/>
      <name val="Calibri"/>
    </font>
    <font>
      <sz val="10"/>
      <color rgb="FFFF0000"/>
      <name val="Calibri"/>
    </font>
    <font>
      <i/>
      <sz val="10"/>
      <color rgb="FFFF0000"/>
      <name val="Calibri"/>
    </font>
    <font>
      <b/>
      <sz val="12"/>
      <color theme="1"/>
      <name val="Arial"/>
    </font>
    <font>
      <b/>
      <sz val="10"/>
      <color theme="1"/>
      <name val="Arial"/>
    </font>
    <font>
      <i/>
      <sz val="9"/>
      <color theme="1"/>
      <name val="Arial"/>
    </font>
    <font>
      <b/>
      <sz val="9"/>
      <color theme="1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3" fillId="2" borderId="1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3" borderId="0" xfId="0" applyFont="1" applyFill="1" applyAlignment="1">
      <alignment vertical="center"/>
    </xf>
    <xf numFmtId="164" fontId="3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horizontal="left" vertical="center"/>
    </xf>
    <xf numFmtId="165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vertical="center"/>
    </xf>
    <xf numFmtId="166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165" fontId="15" fillId="0" borderId="0" xfId="0" applyNumberFormat="1" applyFont="1" applyAlignment="1">
      <alignment vertical="center"/>
    </xf>
    <xf numFmtId="0" fontId="16" fillId="0" borderId="0" xfId="0" applyFont="1" applyAlignment="1">
      <alignment vertical="top" wrapText="1"/>
    </xf>
    <xf numFmtId="164" fontId="17" fillId="0" borderId="4" xfId="0" applyNumberFormat="1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165" fontId="17" fillId="0" borderId="4" xfId="0" applyNumberFormat="1" applyFont="1" applyBorder="1" applyAlignment="1">
      <alignment vertical="center"/>
    </xf>
    <xf numFmtId="164" fontId="18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5" fontId="1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5" fontId="1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workbookViewId="0"/>
  </sheetViews>
  <sheetFormatPr defaultColWidth="12.6640625" defaultRowHeight="15" customHeight="1" x14ac:dyDescent="0.25"/>
  <cols>
    <col min="1" max="1" width="14.21875" customWidth="1"/>
    <col min="2" max="2" width="40.77734375" customWidth="1"/>
    <col min="3" max="3" width="23.88671875" customWidth="1"/>
    <col min="4" max="4" width="14.21875" customWidth="1"/>
    <col min="5" max="5" width="26" customWidth="1"/>
    <col min="6" max="6" width="23.109375" customWidth="1"/>
    <col min="7" max="11" width="8" customWidth="1"/>
    <col min="12" max="12" width="26.109375" customWidth="1"/>
    <col min="13" max="26" width="8" customWidth="1"/>
  </cols>
  <sheetData>
    <row r="1" spans="1:10" ht="12.75" customHeight="1" x14ac:dyDescent="0.25">
      <c r="A1" s="1">
        <v>44953</v>
      </c>
      <c r="B1" s="2" t="s">
        <v>0</v>
      </c>
      <c r="C1" s="2"/>
      <c r="D1" s="3">
        <v>19259</v>
      </c>
      <c r="E1" s="4"/>
      <c r="F1" s="4"/>
    </row>
    <row r="2" spans="1:10" ht="12.75" customHeight="1" x14ac:dyDescent="0.25">
      <c r="A2" s="5"/>
      <c r="B2" s="5"/>
      <c r="C2" s="5"/>
      <c r="D2" s="5"/>
      <c r="E2" s="5"/>
      <c r="F2" s="5"/>
      <c r="H2" s="6" t="s">
        <v>1</v>
      </c>
      <c r="I2" s="7"/>
      <c r="J2" s="7"/>
    </row>
    <row r="3" spans="1:10" ht="12.75" customHeight="1" x14ac:dyDescent="0.25">
      <c r="A3" s="3" t="s">
        <v>2</v>
      </c>
      <c r="B3" s="5"/>
      <c r="C3" s="5"/>
      <c r="D3" s="5"/>
      <c r="E3" s="5"/>
      <c r="F3" s="5"/>
      <c r="H3" s="6" t="s">
        <v>3</v>
      </c>
      <c r="I3" s="7"/>
      <c r="J3" s="7"/>
    </row>
    <row r="4" spans="1:10" ht="12.75" customHeight="1" x14ac:dyDescent="0.25">
      <c r="A4" s="3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H4" s="8" t="s">
        <v>10</v>
      </c>
      <c r="I4" s="7"/>
      <c r="J4" s="7"/>
    </row>
    <row r="5" spans="1:10" ht="12.75" customHeight="1" x14ac:dyDescent="0.25">
      <c r="A5" s="9">
        <v>44592</v>
      </c>
      <c r="B5" s="10" t="s">
        <v>11</v>
      </c>
      <c r="C5" s="10" t="s">
        <v>12</v>
      </c>
      <c r="D5" s="10">
        <v>311</v>
      </c>
      <c r="E5" s="4"/>
      <c r="F5" s="11" t="s">
        <v>13</v>
      </c>
      <c r="H5" s="6" t="s">
        <v>14</v>
      </c>
      <c r="I5" s="7"/>
      <c r="J5" s="7"/>
    </row>
    <row r="6" spans="1:10" ht="12.75" customHeight="1" x14ac:dyDescent="0.25">
      <c r="A6" s="9">
        <v>44592</v>
      </c>
      <c r="B6" s="10" t="s">
        <v>15</v>
      </c>
      <c r="C6" s="10" t="s">
        <v>16</v>
      </c>
      <c r="D6" s="10">
        <v>60</v>
      </c>
      <c r="E6" s="4"/>
      <c r="F6" s="11" t="s">
        <v>13</v>
      </c>
    </row>
    <row r="7" spans="1:10" ht="12.75" customHeight="1" x14ac:dyDescent="0.25">
      <c r="A7" s="9">
        <v>44592</v>
      </c>
      <c r="B7" s="10" t="s">
        <v>17</v>
      </c>
      <c r="C7" s="10" t="s">
        <v>18</v>
      </c>
      <c r="D7" s="10">
        <v>420</v>
      </c>
      <c r="E7" s="4"/>
      <c r="F7" s="11" t="s">
        <v>13</v>
      </c>
    </row>
    <row r="8" spans="1:10" ht="12.75" customHeight="1" x14ac:dyDescent="0.25">
      <c r="A8" s="9">
        <v>44592</v>
      </c>
      <c r="B8" s="10" t="s">
        <v>19</v>
      </c>
      <c r="C8" s="10" t="s">
        <v>20</v>
      </c>
      <c r="D8" s="10">
        <v>120</v>
      </c>
      <c r="E8" s="4"/>
      <c r="F8" s="11" t="s">
        <v>13</v>
      </c>
    </row>
    <row r="9" spans="1:10" ht="12.75" customHeight="1" x14ac:dyDescent="0.25">
      <c r="A9" s="9">
        <v>44592</v>
      </c>
      <c r="B9" s="10" t="s">
        <v>17</v>
      </c>
      <c r="C9" s="10" t="s">
        <v>21</v>
      </c>
      <c r="D9" s="10">
        <v>80</v>
      </c>
      <c r="E9" s="4"/>
      <c r="F9" s="11" t="s">
        <v>13</v>
      </c>
    </row>
    <row r="10" spans="1:10" ht="12.75" customHeight="1" x14ac:dyDescent="0.25">
      <c r="A10" s="9">
        <v>44620</v>
      </c>
      <c r="B10" s="10" t="s">
        <v>22</v>
      </c>
      <c r="C10" s="10" t="s">
        <v>23</v>
      </c>
      <c r="D10" s="10">
        <v>20</v>
      </c>
      <c r="E10" s="4"/>
      <c r="F10" s="11" t="s">
        <v>13</v>
      </c>
    </row>
    <row r="11" spans="1:10" ht="12.75" customHeight="1" x14ac:dyDescent="0.25">
      <c r="A11" s="9">
        <v>44620</v>
      </c>
      <c r="B11" s="10" t="s">
        <v>19</v>
      </c>
      <c r="C11" s="10" t="s">
        <v>24</v>
      </c>
      <c r="D11" s="10">
        <v>120</v>
      </c>
      <c r="E11" s="4"/>
      <c r="F11" s="11" t="s">
        <v>13</v>
      </c>
    </row>
    <row r="12" spans="1:10" ht="12.75" customHeight="1" x14ac:dyDescent="0.25">
      <c r="A12" s="9">
        <v>44620</v>
      </c>
      <c r="B12" s="10" t="s">
        <v>17</v>
      </c>
      <c r="C12" s="10" t="s">
        <v>25</v>
      </c>
      <c r="D12" s="10">
        <v>240</v>
      </c>
      <c r="E12" s="4"/>
      <c r="F12" s="11" t="s">
        <v>13</v>
      </c>
    </row>
    <row r="13" spans="1:10" ht="12.75" customHeight="1" x14ac:dyDescent="0.25">
      <c r="A13" s="9">
        <v>44651</v>
      </c>
      <c r="B13" s="10" t="s">
        <v>17</v>
      </c>
      <c r="C13" s="10" t="s">
        <v>26</v>
      </c>
      <c r="D13" s="10">
        <v>200</v>
      </c>
      <c r="E13" s="4"/>
      <c r="F13" s="11" t="s">
        <v>13</v>
      </c>
    </row>
    <row r="14" spans="1:10" ht="12.75" customHeight="1" x14ac:dyDescent="0.25">
      <c r="A14" s="9">
        <v>44651</v>
      </c>
      <c r="B14" s="10" t="s">
        <v>19</v>
      </c>
      <c r="C14" s="10" t="s">
        <v>27</v>
      </c>
      <c r="D14" s="10">
        <v>120</v>
      </c>
      <c r="E14" s="4"/>
      <c r="F14" s="11" t="s">
        <v>13</v>
      </c>
    </row>
    <row r="15" spans="1:10" ht="12.75" customHeight="1" x14ac:dyDescent="0.25">
      <c r="A15" s="9">
        <v>44651</v>
      </c>
      <c r="B15" s="10" t="s">
        <v>28</v>
      </c>
      <c r="C15" s="10" t="s">
        <v>29</v>
      </c>
      <c r="D15" s="10">
        <v>20</v>
      </c>
      <c r="E15" s="4"/>
      <c r="F15" s="11" t="s">
        <v>13</v>
      </c>
    </row>
    <row r="16" spans="1:10" ht="12.75" customHeight="1" x14ac:dyDescent="0.25">
      <c r="A16" s="9">
        <v>44651</v>
      </c>
      <c r="B16" s="10" t="s">
        <v>28</v>
      </c>
      <c r="C16" s="10" t="s">
        <v>30</v>
      </c>
      <c r="D16" s="10">
        <v>120</v>
      </c>
      <c r="E16" s="4"/>
      <c r="F16" s="11" t="s">
        <v>13</v>
      </c>
    </row>
    <row r="17" spans="1:26" ht="12.75" customHeight="1" x14ac:dyDescent="0.25">
      <c r="A17" s="9">
        <v>44655</v>
      </c>
      <c r="B17" s="10" t="s">
        <v>31</v>
      </c>
      <c r="C17" s="10" t="s">
        <v>32</v>
      </c>
      <c r="D17" s="10">
        <v>50</v>
      </c>
      <c r="E17" s="12"/>
      <c r="F17" s="11" t="s">
        <v>13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5">
      <c r="A18" s="9">
        <v>44680</v>
      </c>
      <c r="B18" s="10" t="s">
        <v>17</v>
      </c>
      <c r="C18" s="10" t="s">
        <v>33</v>
      </c>
      <c r="D18" s="10">
        <v>150</v>
      </c>
      <c r="E18" s="4"/>
      <c r="F18" s="11" t="s">
        <v>13</v>
      </c>
    </row>
    <row r="19" spans="1:26" ht="12.75" customHeight="1" x14ac:dyDescent="0.25">
      <c r="A19" s="9">
        <v>44680</v>
      </c>
      <c r="B19" s="10" t="s">
        <v>34</v>
      </c>
      <c r="C19" s="10" t="s">
        <v>35</v>
      </c>
      <c r="D19" s="10">
        <v>120</v>
      </c>
      <c r="E19" s="12"/>
      <c r="F19" s="11" t="s">
        <v>13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5">
      <c r="A20" s="9">
        <v>44680</v>
      </c>
      <c r="B20" s="10" t="s">
        <v>22</v>
      </c>
      <c r="C20" s="10" t="s">
        <v>23</v>
      </c>
      <c r="D20" s="10">
        <v>30</v>
      </c>
      <c r="E20" s="12"/>
      <c r="F20" s="11" t="s">
        <v>13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5">
      <c r="A21" s="9">
        <v>44712</v>
      </c>
      <c r="B21" s="10" t="s">
        <v>19</v>
      </c>
      <c r="C21" s="10" t="s">
        <v>36</v>
      </c>
      <c r="D21" s="10">
        <v>120</v>
      </c>
      <c r="E21" s="4"/>
      <c r="F21" s="11" t="s">
        <v>13</v>
      </c>
    </row>
    <row r="22" spans="1:26" ht="12.75" customHeight="1" x14ac:dyDescent="0.25">
      <c r="A22" s="9">
        <v>44712</v>
      </c>
      <c r="B22" s="10" t="s">
        <v>28</v>
      </c>
      <c r="C22" s="10" t="s">
        <v>37</v>
      </c>
      <c r="D22" s="10">
        <v>35</v>
      </c>
      <c r="E22" s="4"/>
      <c r="F22" s="11" t="s">
        <v>13</v>
      </c>
    </row>
    <row r="23" spans="1:26" ht="12.75" customHeight="1" x14ac:dyDescent="0.25">
      <c r="A23" s="9">
        <v>44742</v>
      </c>
      <c r="B23" s="10" t="s">
        <v>28</v>
      </c>
      <c r="C23" s="10" t="s">
        <v>38</v>
      </c>
      <c r="D23" s="10">
        <v>10</v>
      </c>
      <c r="E23" s="4"/>
      <c r="F23" s="11" t="s">
        <v>13</v>
      </c>
    </row>
    <row r="24" spans="1:26" ht="12.75" customHeight="1" x14ac:dyDescent="0.25">
      <c r="A24" s="9">
        <v>44742</v>
      </c>
      <c r="B24" s="10" t="s">
        <v>19</v>
      </c>
      <c r="C24" s="10" t="s">
        <v>39</v>
      </c>
      <c r="D24" s="10">
        <v>120</v>
      </c>
      <c r="E24" s="4"/>
      <c r="F24" s="11" t="s">
        <v>13</v>
      </c>
    </row>
    <row r="25" spans="1:26" ht="12.75" customHeight="1" x14ac:dyDescent="0.25">
      <c r="A25" s="9">
        <v>44742</v>
      </c>
      <c r="B25" s="10" t="s">
        <v>17</v>
      </c>
      <c r="C25" s="10" t="s">
        <v>40</v>
      </c>
      <c r="D25" s="10">
        <v>280</v>
      </c>
      <c r="E25" s="4"/>
      <c r="F25" s="11" t="s">
        <v>13</v>
      </c>
    </row>
    <row r="26" spans="1:26" ht="12.75" customHeight="1" x14ac:dyDescent="0.25">
      <c r="A26" s="9">
        <v>44742</v>
      </c>
      <c r="B26" s="10" t="s">
        <v>17</v>
      </c>
      <c r="C26" s="10" t="s">
        <v>41</v>
      </c>
      <c r="D26" s="10">
        <v>1100</v>
      </c>
      <c r="E26" s="4"/>
      <c r="F26" s="11" t="s">
        <v>13</v>
      </c>
    </row>
    <row r="27" spans="1:26" ht="12.75" customHeight="1" x14ac:dyDescent="0.25">
      <c r="A27" s="9">
        <v>44771</v>
      </c>
      <c r="B27" s="10" t="s">
        <v>17</v>
      </c>
      <c r="C27" s="10" t="s">
        <v>42</v>
      </c>
      <c r="D27" s="10">
        <v>2205</v>
      </c>
      <c r="E27" s="4"/>
      <c r="F27" s="11" t="s">
        <v>13</v>
      </c>
    </row>
    <row r="28" spans="1:26" ht="12.75" customHeight="1" x14ac:dyDescent="0.25">
      <c r="A28" s="9">
        <v>44771</v>
      </c>
      <c r="B28" s="10" t="s">
        <v>19</v>
      </c>
      <c r="C28" s="10" t="s">
        <v>43</v>
      </c>
      <c r="D28" s="10">
        <v>120</v>
      </c>
      <c r="E28" s="4"/>
      <c r="F28" s="11" t="s">
        <v>13</v>
      </c>
    </row>
    <row r="29" spans="1:26" ht="12.75" customHeight="1" x14ac:dyDescent="0.25">
      <c r="A29" s="9">
        <v>44803</v>
      </c>
      <c r="B29" s="10" t="s">
        <v>19</v>
      </c>
      <c r="C29" s="10" t="s">
        <v>44</v>
      </c>
      <c r="D29" s="10">
        <v>120</v>
      </c>
      <c r="E29" s="4"/>
      <c r="F29" s="11" t="s">
        <v>13</v>
      </c>
    </row>
    <row r="30" spans="1:26" ht="12.75" customHeight="1" x14ac:dyDescent="0.25">
      <c r="A30" s="9">
        <v>44803</v>
      </c>
      <c r="B30" s="10" t="s">
        <v>28</v>
      </c>
      <c r="C30" s="10" t="s">
        <v>45</v>
      </c>
      <c r="D30" s="10">
        <v>20</v>
      </c>
      <c r="E30" s="12"/>
      <c r="F30" s="11" t="s">
        <v>13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5">
      <c r="A31" s="9">
        <v>44834</v>
      </c>
      <c r="B31" s="10" t="s">
        <v>19</v>
      </c>
      <c r="C31" s="10" t="s">
        <v>46</v>
      </c>
      <c r="D31" s="10">
        <v>120</v>
      </c>
      <c r="E31" s="4"/>
      <c r="F31" s="11" t="s">
        <v>13</v>
      </c>
    </row>
    <row r="32" spans="1:26" ht="12.75" customHeight="1" x14ac:dyDescent="0.25">
      <c r="A32" s="14">
        <v>44834</v>
      </c>
      <c r="B32" s="15" t="s">
        <v>47</v>
      </c>
      <c r="C32" s="15" t="s">
        <v>48</v>
      </c>
      <c r="D32" s="15">
        <v>20</v>
      </c>
      <c r="E32" s="12" t="s">
        <v>49</v>
      </c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5">
      <c r="A33" s="16">
        <v>44862</v>
      </c>
      <c r="B33" s="17" t="s">
        <v>19</v>
      </c>
      <c r="C33" s="17" t="s">
        <v>50</v>
      </c>
      <c r="D33" s="17">
        <v>120</v>
      </c>
      <c r="E33" s="12"/>
      <c r="F33" s="11" t="s">
        <v>13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5">
      <c r="A34" s="14">
        <v>44862</v>
      </c>
      <c r="B34" s="15"/>
      <c r="C34" s="15" t="s">
        <v>51</v>
      </c>
      <c r="D34" s="15">
        <v>20</v>
      </c>
      <c r="E34" s="12" t="s">
        <v>49</v>
      </c>
      <c r="F34" s="4"/>
    </row>
    <row r="35" spans="1:26" ht="12.75" customHeight="1" x14ac:dyDescent="0.25">
      <c r="A35" s="9">
        <v>44862</v>
      </c>
      <c r="B35" s="10" t="s">
        <v>17</v>
      </c>
      <c r="C35" s="10" t="s">
        <v>52</v>
      </c>
      <c r="D35" s="10">
        <v>300</v>
      </c>
      <c r="E35" s="4"/>
      <c r="F35" s="11" t="s">
        <v>13</v>
      </c>
    </row>
    <row r="36" spans="1:26" ht="12.75" customHeight="1" x14ac:dyDescent="0.25">
      <c r="A36" s="9">
        <v>44862</v>
      </c>
      <c r="B36" s="10" t="s">
        <v>28</v>
      </c>
      <c r="C36" s="10" t="s">
        <v>53</v>
      </c>
      <c r="D36" s="10">
        <v>20</v>
      </c>
      <c r="E36" s="12"/>
      <c r="F36" s="11" t="s">
        <v>13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5">
      <c r="A37" s="9">
        <v>44887</v>
      </c>
      <c r="B37" s="10" t="s">
        <v>17</v>
      </c>
      <c r="C37" s="10" t="s">
        <v>54</v>
      </c>
      <c r="D37" s="10">
        <v>300</v>
      </c>
      <c r="E37" s="4"/>
      <c r="F37" s="11" t="s">
        <v>13</v>
      </c>
    </row>
    <row r="38" spans="1:26" ht="12.75" customHeight="1" x14ac:dyDescent="0.25">
      <c r="A38" s="9">
        <v>44887</v>
      </c>
      <c r="B38" s="10" t="s">
        <v>28</v>
      </c>
      <c r="C38" s="10" t="s">
        <v>55</v>
      </c>
      <c r="D38" s="10">
        <v>20</v>
      </c>
      <c r="E38" s="4"/>
      <c r="F38" s="11" t="s">
        <v>13</v>
      </c>
    </row>
    <row r="39" spans="1:26" ht="12.75" customHeight="1" x14ac:dyDescent="0.25">
      <c r="A39" s="9">
        <v>44895</v>
      </c>
      <c r="B39" s="10" t="s">
        <v>19</v>
      </c>
      <c r="C39" s="10" t="s">
        <v>56</v>
      </c>
      <c r="D39" s="10">
        <v>140</v>
      </c>
      <c r="E39" s="12"/>
      <c r="F39" s="11" t="s">
        <v>13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5">
      <c r="A40" s="9">
        <v>44935</v>
      </c>
      <c r="B40" s="10" t="s">
        <v>57</v>
      </c>
      <c r="C40" s="10" t="s">
        <v>58</v>
      </c>
      <c r="D40" s="10">
        <v>120</v>
      </c>
      <c r="E40" s="4"/>
      <c r="F40" s="11" t="s">
        <v>13</v>
      </c>
    </row>
    <row r="41" spans="1:26" ht="12.75" customHeight="1" x14ac:dyDescent="0.25">
      <c r="A41" s="9">
        <v>44935</v>
      </c>
      <c r="B41" s="10" t="s">
        <v>28</v>
      </c>
      <c r="C41" s="10" t="s">
        <v>59</v>
      </c>
      <c r="D41" s="10">
        <v>20</v>
      </c>
      <c r="E41" s="4"/>
      <c r="F41" s="11" t="s">
        <v>13</v>
      </c>
    </row>
    <row r="42" spans="1:26" ht="12.75" customHeight="1" x14ac:dyDescent="0.25">
      <c r="A42" s="9">
        <v>44936</v>
      </c>
      <c r="B42" s="10" t="s">
        <v>17</v>
      </c>
      <c r="C42" s="10" t="s">
        <v>60</v>
      </c>
      <c r="D42" s="10">
        <v>15</v>
      </c>
      <c r="E42" s="12"/>
      <c r="F42" s="11" t="s">
        <v>13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5">
      <c r="A43" s="9">
        <v>44936</v>
      </c>
      <c r="B43" s="10" t="s">
        <v>17</v>
      </c>
      <c r="C43" s="10" t="s">
        <v>61</v>
      </c>
      <c r="D43" s="10">
        <v>10</v>
      </c>
      <c r="E43" s="12"/>
      <c r="F43" s="11" t="s">
        <v>13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5">
      <c r="A44" s="37" t="s">
        <v>62</v>
      </c>
      <c r="B44" s="38"/>
      <c r="C44" s="2"/>
      <c r="D44" s="3">
        <f>SUM(D5:D43)</f>
        <v>7536</v>
      </c>
      <c r="E44" s="4"/>
      <c r="F44" s="11"/>
    </row>
    <row r="45" spans="1:26" ht="12.75" customHeight="1" x14ac:dyDescent="0.25">
      <c r="A45" s="5"/>
      <c r="B45" s="5"/>
      <c r="C45" s="5"/>
      <c r="D45" s="5"/>
      <c r="E45" s="5"/>
      <c r="F45" s="5"/>
    </row>
    <row r="46" spans="1:26" ht="12.75" customHeight="1" x14ac:dyDescent="0.25">
      <c r="A46" s="3" t="s">
        <v>63</v>
      </c>
      <c r="B46" s="5"/>
      <c r="C46" s="5"/>
      <c r="D46" s="5"/>
      <c r="E46" s="5"/>
      <c r="F46" s="5"/>
      <c r="H46" s="18"/>
      <c r="I46" s="18"/>
      <c r="J46" s="18"/>
      <c r="L46" s="19"/>
    </row>
    <row r="47" spans="1:26" ht="12.75" customHeight="1" x14ac:dyDescent="0.25">
      <c r="A47" s="20">
        <v>44592</v>
      </c>
      <c r="B47" s="21" t="s">
        <v>64</v>
      </c>
      <c r="C47" s="21" t="s">
        <v>65</v>
      </c>
      <c r="D47" s="21">
        <v>250</v>
      </c>
      <c r="E47" s="4"/>
      <c r="F47" s="11" t="s">
        <v>13</v>
      </c>
      <c r="H47" s="22"/>
      <c r="I47" s="23"/>
      <c r="J47" s="24"/>
      <c r="K47" s="18"/>
    </row>
    <row r="48" spans="1:26" ht="12.75" customHeight="1" x14ac:dyDescent="0.25">
      <c r="A48" s="20">
        <v>44592</v>
      </c>
      <c r="B48" s="21" t="s">
        <v>66</v>
      </c>
      <c r="C48" s="21" t="s">
        <v>67</v>
      </c>
      <c r="D48" s="21">
        <v>200</v>
      </c>
      <c r="E48" s="4"/>
      <c r="F48" s="11" t="s">
        <v>13</v>
      </c>
      <c r="H48" s="22"/>
      <c r="I48" s="23"/>
      <c r="J48" s="25"/>
      <c r="K48" s="18"/>
    </row>
    <row r="49" spans="1:12" ht="12.75" customHeight="1" x14ac:dyDescent="0.25">
      <c r="A49" s="20">
        <v>44592</v>
      </c>
      <c r="B49" s="21" t="s">
        <v>68</v>
      </c>
      <c r="C49" s="21" t="s">
        <v>69</v>
      </c>
      <c r="D49" s="21">
        <v>250</v>
      </c>
      <c r="E49" s="4"/>
      <c r="F49" s="11" t="s">
        <v>13</v>
      </c>
      <c r="H49" s="22"/>
      <c r="I49" s="23"/>
      <c r="J49" s="25"/>
      <c r="K49" s="18"/>
    </row>
    <row r="50" spans="1:12" ht="12.75" customHeight="1" x14ac:dyDescent="0.25">
      <c r="A50" s="20">
        <v>44592</v>
      </c>
      <c r="B50" s="21" t="s">
        <v>70</v>
      </c>
      <c r="C50" s="21" t="s">
        <v>71</v>
      </c>
      <c r="D50" s="21">
        <v>250</v>
      </c>
      <c r="E50" s="4"/>
      <c r="F50" s="11" t="s">
        <v>13</v>
      </c>
      <c r="H50" s="22"/>
      <c r="I50" s="23"/>
      <c r="J50" s="18"/>
      <c r="K50" s="18"/>
      <c r="L50" s="18"/>
    </row>
    <row r="51" spans="1:12" ht="12.75" customHeight="1" x14ac:dyDescent="0.25">
      <c r="A51" s="20">
        <v>44592</v>
      </c>
      <c r="B51" s="21" t="s">
        <v>72</v>
      </c>
      <c r="C51" s="21" t="s">
        <v>73</v>
      </c>
      <c r="D51" s="21">
        <v>225</v>
      </c>
      <c r="E51" s="4"/>
      <c r="F51" s="11" t="s">
        <v>13</v>
      </c>
      <c r="H51" s="22"/>
      <c r="I51" s="18"/>
      <c r="J51" s="18"/>
      <c r="K51" s="18"/>
      <c r="L51" s="19"/>
    </row>
    <row r="52" spans="1:12" ht="12.75" customHeight="1" x14ac:dyDescent="0.25">
      <c r="A52" s="20">
        <v>44592</v>
      </c>
      <c r="B52" s="21" t="s">
        <v>74</v>
      </c>
      <c r="C52" s="21" t="s">
        <v>75</v>
      </c>
      <c r="D52" s="21">
        <v>200</v>
      </c>
      <c r="E52" s="4"/>
      <c r="F52" s="11" t="s">
        <v>13</v>
      </c>
      <c r="H52" s="22"/>
      <c r="I52" s="18"/>
      <c r="J52" s="18"/>
      <c r="K52" s="18"/>
    </row>
    <row r="53" spans="1:12" ht="12.75" customHeight="1" x14ac:dyDescent="0.25">
      <c r="A53" s="20">
        <v>44592</v>
      </c>
      <c r="B53" s="21" t="s">
        <v>76</v>
      </c>
      <c r="C53" s="21" t="s">
        <v>77</v>
      </c>
      <c r="D53" s="21">
        <v>200</v>
      </c>
      <c r="E53" s="4"/>
      <c r="F53" s="11" t="s">
        <v>13</v>
      </c>
      <c r="H53" s="22"/>
      <c r="I53" s="18"/>
      <c r="J53" s="18"/>
      <c r="K53" s="18"/>
    </row>
    <row r="54" spans="1:12" ht="12.75" customHeight="1" x14ac:dyDescent="0.25">
      <c r="A54" s="20">
        <v>44620</v>
      </c>
      <c r="B54" s="21" t="s">
        <v>78</v>
      </c>
      <c r="C54" s="21" t="s">
        <v>79</v>
      </c>
      <c r="D54" s="21">
        <v>225</v>
      </c>
      <c r="E54" s="4"/>
      <c r="F54" s="11" t="s">
        <v>13</v>
      </c>
      <c r="H54" s="22"/>
      <c r="I54" s="18"/>
      <c r="J54" s="18"/>
      <c r="K54" s="18"/>
    </row>
    <row r="55" spans="1:12" ht="12.75" customHeight="1" x14ac:dyDescent="0.25">
      <c r="A55" s="20">
        <v>44620</v>
      </c>
      <c r="B55" s="21" t="s">
        <v>64</v>
      </c>
      <c r="C55" s="21" t="s">
        <v>80</v>
      </c>
      <c r="D55" s="21">
        <v>250</v>
      </c>
      <c r="E55" s="4"/>
      <c r="F55" s="11" t="s">
        <v>13</v>
      </c>
      <c r="H55" s="22"/>
      <c r="I55" s="18"/>
      <c r="J55" s="26"/>
      <c r="K55" s="18"/>
    </row>
    <row r="56" spans="1:12" ht="12.75" customHeight="1" x14ac:dyDescent="0.25">
      <c r="A56" s="20">
        <v>44620</v>
      </c>
      <c r="B56" s="21" t="s">
        <v>66</v>
      </c>
      <c r="C56" s="21" t="s">
        <v>81</v>
      </c>
      <c r="D56" s="21">
        <v>200</v>
      </c>
      <c r="E56" s="4"/>
      <c r="F56" s="11" t="s">
        <v>13</v>
      </c>
      <c r="H56" s="22"/>
      <c r="I56" s="18"/>
      <c r="J56" s="18"/>
      <c r="K56" s="18"/>
    </row>
    <row r="57" spans="1:12" ht="12.75" customHeight="1" x14ac:dyDescent="0.25">
      <c r="A57" s="20">
        <v>44620</v>
      </c>
      <c r="B57" s="21" t="s">
        <v>68</v>
      </c>
      <c r="C57" s="21" t="s">
        <v>82</v>
      </c>
      <c r="D57" s="21">
        <v>200</v>
      </c>
      <c r="E57" s="4"/>
      <c r="F57" s="11" t="s">
        <v>13</v>
      </c>
      <c r="H57" s="22"/>
      <c r="I57" s="18"/>
      <c r="J57" s="18"/>
      <c r="K57" s="18"/>
    </row>
    <row r="58" spans="1:12" ht="12.75" customHeight="1" x14ac:dyDescent="0.25">
      <c r="A58" s="20">
        <v>44620</v>
      </c>
      <c r="B58" s="21" t="s">
        <v>70</v>
      </c>
      <c r="C58" s="21" t="s">
        <v>83</v>
      </c>
      <c r="D58" s="21">
        <v>250</v>
      </c>
      <c r="E58" s="4"/>
      <c r="F58" s="11" t="s">
        <v>13</v>
      </c>
      <c r="H58" s="22"/>
      <c r="I58" s="18"/>
      <c r="J58" s="18"/>
      <c r="K58" s="18"/>
    </row>
    <row r="59" spans="1:12" ht="12.75" customHeight="1" x14ac:dyDescent="0.25">
      <c r="A59" s="20">
        <v>44620</v>
      </c>
      <c r="B59" s="21" t="s">
        <v>72</v>
      </c>
      <c r="C59" s="21" t="s">
        <v>84</v>
      </c>
      <c r="D59" s="21">
        <v>200</v>
      </c>
      <c r="E59" s="27" t="s">
        <v>85</v>
      </c>
      <c r="F59" s="11" t="s">
        <v>13</v>
      </c>
      <c r="H59" s="18"/>
      <c r="I59" s="18"/>
      <c r="J59" s="18"/>
    </row>
    <row r="60" spans="1:12" ht="12.75" customHeight="1" x14ac:dyDescent="0.25">
      <c r="A60" s="20">
        <v>44620</v>
      </c>
      <c r="B60" s="21" t="s">
        <v>74</v>
      </c>
      <c r="C60" s="21" t="s">
        <v>86</v>
      </c>
      <c r="D60" s="21">
        <v>200</v>
      </c>
      <c r="E60" s="4"/>
      <c r="F60" s="11" t="s">
        <v>13</v>
      </c>
      <c r="H60" s="18"/>
      <c r="I60" s="18"/>
      <c r="J60" s="18"/>
    </row>
    <row r="61" spans="1:12" ht="12.75" customHeight="1" x14ac:dyDescent="0.25">
      <c r="A61" s="20">
        <v>44620</v>
      </c>
      <c r="B61" s="21" t="s">
        <v>76</v>
      </c>
      <c r="C61" s="21" t="s">
        <v>87</v>
      </c>
      <c r="D61" s="21">
        <v>200</v>
      </c>
      <c r="E61" s="4"/>
      <c r="F61" s="11" t="s">
        <v>13</v>
      </c>
      <c r="H61" s="18"/>
      <c r="I61" s="18"/>
      <c r="J61" s="18"/>
    </row>
    <row r="62" spans="1:12" ht="12.75" customHeight="1" x14ac:dyDescent="0.25">
      <c r="A62" s="20">
        <v>44621</v>
      </c>
      <c r="B62" s="21" t="s">
        <v>78</v>
      </c>
      <c r="C62" s="21" t="s">
        <v>88</v>
      </c>
      <c r="D62" s="21">
        <v>225</v>
      </c>
      <c r="E62" s="4"/>
      <c r="F62" s="11" t="s">
        <v>13</v>
      </c>
      <c r="H62" s="18"/>
      <c r="I62" s="18"/>
      <c r="J62" s="18"/>
    </row>
    <row r="63" spans="1:12" ht="12.75" customHeight="1" x14ac:dyDescent="0.25">
      <c r="A63" s="20">
        <v>44621</v>
      </c>
      <c r="B63" s="21" t="s">
        <v>64</v>
      </c>
      <c r="C63" s="21" t="s">
        <v>89</v>
      </c>
      <c r="D63" s="21">
        <v>200</v>
      </c>
      <c r="E63" s="4"/>
      <c r="F63" s="11" t="s">
        <v>13</v>
      </c>
      <c r="H63" s="18"/>
      <c r="I63" s="18"/>
      <c r="J63" s="18"/>
    </row>
    <row r="64" spans="1:12" ht="12.75" customHeight="1" x14ac:dyDescent="0.25">
      <c r="A64" s="20">
        <v>44621</v>
      </c>
      <c r="B64" s="21" t="s">
        <v>66</v>
      </c>
      <c r="C64" s="21" t="s">
        <v>90</v>
      </c>
      <c r="D64" s="21">
        <v>200</v>
      </c>
      <c r="E64" s="4"/>
      <c r="F64" s="11" t="s">
        <v>13</v>
      </c>
      <c r="H64" s="18"/>
      <c r="I64" s="18"/>
      <c r="J64" s="18"/>
    </row>
    <row r="65" spans="1:6" ht="12.75" customHeight="1" x14ac:dyDescent="0.25">
      <c r="A65" s="20">
        <v>44621</v>
      </c>
      <c r="B65" s="21" t="s">
        <v>91</v>
      </c>
      <c r="C65" s="21" t="s">
        <v>92</v>
      </c>
      <c r="D65" s="21">
        <v>300</v>
      </c>
      <c r="E65" s="28" t="s">
        <v>93</v>
      </c>
      <c r="F65" s="4"/>
    </row>
    <row r="66" spans="1:6" ht="12.75" customHeight="1" x14ac:dyDescent="0.25">
      <c r="A66" s="20">
        <v>44621</v>
      </c>
      <c r="B66" s="21" t="s">
        <v>70</v>
      </c>
      <c r="C66" s="21" t="s">
        <v>94</v>
      </c>
      <c r="D66" s="21">
        <v>250</v>
      </c>
      <c r="E66" s="27"/>
      <c r="F66" s="11" t="s">
        <v>13</v>
      </c>
    </row>
    <row r="67" spans="1:6" ht="12.75" customHeight="1" x14ac:dyDescent="0.25">
      <c r="A67" s="20">
        <v>44621</v>
      </c>
      <c r="B67" s="21" t="s">
        <v>72</v>
      </c>
      <c r="C67" s="21" t="s">
        <v>95</v>
      </c>
      <c r="D67" s="21">
        <v>220</v>
      </c>
      <c r="E67" s="4"/>
      <c r="F67" s="11" t="s">
        <v>13</v>
      </c>
    </row>
    <row r="68" spans="1:6" ht="12.75" customHeight="1" x14ac:dyDescent="0.25">
      <c r="A68" s="20">
        <v>44621</v>
      </c>
      <c r="B68" s="21" t="s">
        <v>74</v>
      </c>
      <c r="C68" s="21" t="s">
        <v>96</v>
      </c>
      <c r="D68" s="21">
        <v>200</v>
      </c>
      <c r="E68" s="4"/>
      <c r="F68" s="11" t="s">
        <v>13</v>
      </c>
    </row>
    <row r="69" spans="1:6" ht="12.75" customHeight="1" x14ac:dyDescent="0.25">
      <c r="A69" s="20">
        <v>44621</v>
      </c>
      <c r="B69" s="21" t="s">
        <v>76</v>
      </c>
      <c r="C69" s="21" t="s">
        <v>97</v>
      </c>
      <c r="D69" s="21">
        <v>200</v>
      </c>
      <c r="E69" s="4"/>
      <c r="F69" s="11" t="s">
        <v>13</v>
      </c>
    </row>
    <row r="70" spans="1:6" ht="12.75" customHeight="1" x14ac:dyDescent="0.25">
      <c r="A70" s="20">
        <v>44652</v>
      </c>
      <c r="B70" s="21" t="s">
        <v>78</v>
      </c>
      <c r="C70" s="21" t="s">
        <v>98</v>
      </c>
      <c r="D70" s="21">
        <v>200</v>
      </c>
      <c r="E70" s="4"/>
      <c r="F70" s="11" t="s">
        <v>13</v>
      </c>
    </row>
    <row r="71" spans="1:6" ht="12.75" customHeight="1" x14ac:dyDescent="0.25">
      <c r="A71" s="20">
        <v>44652</v>
      </c>
      <c r="B71" s="21" t="s">
        <v>66</v>
      </c>
      <c r="C71" s="21" t="s">
        <v>99</v>
      </c>
      <c r="D71" s="21">
        <v>200</v>
      </c>
      <c r="E71" s="4"/>
      <c r="F71" s="11" t="s">
        <v>13</v>
      </c>
    </row>
    <row r="72" spans="1:6" ht="12.75" customHeight="1" x14ac:dyDescent="0.25">
      <c r="A72" s="20">
        <v>44652</v>
      </c>
      <c r="B72" s="21" t="s">
        <v>68</v>
      </c>
      <c r="C72" s="21" t="s">
        <v>100</v>
      </c>
      <c r="D72" s="21">
        <v>200</v>
      </c>
      <c r="E72" s="4"/>
      <c r="F72" s="11" t="s">
        <v>13</v>
      </c>
    </row>
    <row r="73" spans="1:6" ht="12.75" customHeight="1" x14ac:dyDescent="0.25">
      <c r="A73" s="20">
        <v>44652</v>
      </c>
      <c r="B73" s="21" t="s">
        <v>70</v>
      </c>
      <c r="C73" s="21" t="s">
        <v>101</v>
      </c>
      <c r="D73" s="21">
        <v>250</v>
      </c>
      <c r="E73" s="4"/>
      <c r="F73" s="11" t="s">
        <v>13</v>
      </c>
    </row>
    <row r="74" spans="1:6" ht="12.75" customHeight="1" x14ac:dyDescent="0.25">
      <c r="A74" s="20">
        <v>44652</v>
      </c>
      <c r="B74" s="21" t="s">
        <v>91</v>
      </c>
      <c r="C74" s="21" t="s">
        <v>102</v>
      </c>
      <c r="D74" s="21">
        <v>230</v>
      </c>
      <c r="E74" s="28" t="s">
        <v>93</v>
      </c>
      <c r="F74" s="4"/>
    </row>
    <row r="75" spans="1:6" ht="12.75" customHeight="1" x14ac:dyDescent="0.25">
      <c r="A75" s="20">
        <v>44652</v>
      </c>
      <c r="B75" s="21" t="s">
        <v>74</v>
      </c>
      <c r="C75" s="21" t="s">
        <v>103</v>
      </c>
      <c r="D75" s="21">
        <v>200</v>
      </c>
      <c r="E75" s="4"/>
      <c r="F75" s="11" t="s">
        <v>13</v>
      </c>
    </row>
    <row r="76" spans="1:6" ht="12.75" customHeight="1" x14ac:dyDescent="0.25">
      <c r="A76" s="20">
        <v>44652</v>
      </c>
      <c r="B76" s="21" t="s">
        <v>76</v>
      </c>
      <c r="C76" s="21" t="s">
        <v>104</v>
      </c>
      <c r="D76" s="21">
        <v>200</v>
      </c>
      <c r="E76" s="4"/>
      <c r="F76" s="11" t="s">
        <v>13</v>
      </c>
    </row>
    <row r="77" spans="1:6" ht="12.75" customHeight="1" x14ac:dyDescent="0.25">
      <c r="A77" s="20">
        <v>44683</v>
      </c>
      <c r="B77" s="21" t="s">
        <v>78</v>
      </c>
      <c r="C77" s="21" t="s">
        <v>105</v>
      </c>
      <c r="D77" s="21">
        <v>220</v>
      </c>
      <c r="E77" s="4"/>
      <c r="F77" s="11" t="s">
        <v>13</v>
      </c>
    </row>
    <row r="78" spans="1:6" ht="12.75" customHeight="1" x14ac:dyDescent="0.25">
      <c r="A78" s="20">
        <v>44683</v>
      </c>
      <c r="B78" s="21" t="s">
        <v>64</v>
      </c>
      <c r="C78" s="21" t="s">
        <v>106</v>
      </c>
      <c r="D78" s="21">
        <v>150</v>
      </c>
      <c r="E78" s="4"/>
      <c r="F78" s="11" t="s">
        <v>13</v>
      </c>
    </row>
    <row r="79" spans="1:6" ht="12.75" customHeight="1" x14ac:dyDescent="0.25">
      <c r="A79" s="20">
        <v>44683</v>
      </c>
      <c r="B79" s="21" t="s">
        <v>68</v>
      </c>
      <c r="C79" s="21" t="s">
        <v>107</v>
      </c>
      <c r="D79" s="21">
        <v>200</v>
      </c>
      <c r="E79" s="4"/>
      <c r="F79" s="11" t="s">
        <v>13</v>
      </c>
    </row>
    <row r="80" spans="1:6" ht="12.75" customHeight="1" x14ac:dyDescent="0.25">
      <c r="A80" s="20">
        <v>44683</v>
      </c>
      <c r="B80" s="21" t="s">
        <v>70</v>
      </c>
      <c r="C80" s="21" t="s">
        <v>108</v>
      </c>
      <c r="D80" s="21">
        <v>250</v>
      </c>
      <c r="E80" s="4"/>
      <c r="F80" s="11" t="s">
        <v>13</v>
      </c>
    </row>
    <row r="81" spans="1:26" ht="12.75" customHeight="1" x14ac:dyDescent="0.25">
      <c r="A81" s="20">
        <v>44683</v>
      </c>
      <c r="B81" s="21" t="s">
        <v>74</v>
      </c>
      <c r="C81" s="21" t="s">
        <v>109</v>
      </c>
      <c r="D81" s="21">
        <v>200</v>
      </c>
      <c r="E81" s="4"/>
      <c r="F81" s="11" t="s">
        <v>13</v>
      </c>
    </row>
    <row r="82" spans="1:26" ht="12.75" customHeight="1" x14ac:dyDescent="0.25">
      <c r="A82" s="20">
        <v>44683</v>
      </c>
      <c r="B82" s="21" t="s">
        <v>76</v>
      </c>
      <c r="C82" s="21" t="s">
        <v>110</v>
      </c>
      <c r="D82" s="21">
        <v>200</v>
      </c>
      <c r="E82" s="4"/>
      <c r="F82" s="11" t="s">
        <v>13</v>
      </c>
    </row>
    <row r="83" spans="1:26" ht="12.75" customHeight="1" x14ac:dyDescent="0.25">
      <c r="A83" s="20">
        <v>44683</v>
      </c>
      <c r="B83" s="21" t="s">
        <v>66</v>
      </c>
      <c r="C83" s="21" t="s">
        <v>111</v>
      </c>
      <c r="D83" s="21">
        <v>200</v>
      </c>
      <c r="E83" s="4"/>
      <c r="F83" s="11" t="s">
        <v>13</v>
      </c>
    </row>
    <row r="84" spans="1:26" ht="12.75" customHeight="1" x14ac:dyDescent="0.25">
      <c r="A84" s="20">
        <v>44684</v>
      </c>
      <c r="B84" s="21" t="s">
        <v>68</v>
      </c>
      <c r="C84" s="21"/>
      <c r="D84" s="21">
        <v>50</v>
      </c>
      <c r="E84" s="27"/>
      <c r="F84" s="11" t="s">
        <v>13</v>
      </c>
    </row>
    <row r="85" spans="1:26" ht="12.75" customHeight="1" x14ac:dyDescent="0.25">
      <c r="A85" s="20">
        <v>44713</v>
      </c>
      <c r="B85" s="21" t="s">
        <v>91</v>
      </c>
      <c r="C85" s="21" t="s">
        <v>112</v>
      </c>
      <c r="D85" s="21">
        <v>250</v>
      </c>
      <c r="E85" s="4"/>
      <c r="F85" s="11" t="s">
        <v>13</v>
      </c>
    </row>
    <row r="86" spans="1:26" ht="12.75" customHeight="1" x14ac:dyDescent="0.25">
      <c r="A86" s="20">
        <v>44713</v>
      </c>
      <c r="B86" s="21" t="s">
        <v>91</v>
      </c>
      <c r="C86" s="21" t="s">
        <v>113</v>
      </c>
      <c r="D86" s="21">
        <v>600</v>
      </c>
      <c r="E86" s="4"/>
      <c r="F86" s="11" t="s">
        <v>13</v>
      </c>
    </row>
    <row r="87" spans="1:26" ht="12.75" customHeight="1" x14ac:dyDescent="0.25">
      <c r="A87" s="20">
        <v>44713</v>
      </c>
      <c r="B87" s="21" t="s">
        <v>66</v>
      </c>
      <c r="C87" s="21" t="s">
        <v>114</v>
      </c>
      <c r="D87" s="21">
        <v>200</v>
      </c>
      <c r="E87" s="4"/>
      <c r="F87" s="11" t="s">
        <v>13</v>
      </c>
    </row>
    <row r="88" spans="1:26" ht="12.75" customHeight="1" x14ac:dyDescent="0.25">
      <c r="A88" s="20">
        <v>44713</v>
      </c>
      <c r="B88" s="21" t="s">
        <v>68</v>
      </c>
      <c r="C88" s="21" t="s">
        <v>115</v>
      </c>
      <c r="D88" s="21">
        <v>250</v>
      </c>
      <c r="E88" s="4"/>
      <c r="F88" s="11" t="s">
        <v>13</v>
      </c>
    </row>
    <row r="89" spans="1:26" ht="12.75" customHeight="1" x14ac:dyDescent="0.25">
      <c r="A89" s="20">
        <v>44713</v>
      </c>
      <c r="B89" s="21" t="s">
        <v>74</v>
      </c>
      <c r="C89" s="21" t="s">
        <v>116</v>
      </c>
      <c r="D89" s="21">
        <v>200</v>
      </c>
      <c r="E89" s="4"/>
      <c r="F89" s="11" t="s">
        <v>13</v>
      </c>
    </row>
    <row r="90" spans="1:26" ht="12.75" customHeight="1" x14ac:dyDescent="0.25">
      <c r="A90" s="20">
        <v>44713</v>
      </c>
      <c r="B90" s="21" t="s">
        <v>70</v>
      </c>
      <c r="C90" s="21" t="s">
        <v>117</v>
      </c>
      <c r="D90" s="21">
        <v>250</v>
      </c>
      <c r="E90" s="4"/>
      <c r="F90" s="11" t="s">
        <v>13</v>
      </c>
    </row>
    <row r="91" spans="1:26" ht="12.75" customHeight="1" x14ac:dyDescent="0.25">
      <c r="A91" s="20">
        <v>44713</v>
      </c>
      <c r="B91" s="21" t="s">
        <v>76</v>
      </c>
      <c r="C91" s="21" t="s">
        <v>118</v>
      </c>
      <c r="D91" s="21">
        <v>200</v>
      </c>
      <c r="E91" s="4"/>
      <c r="F91" s="11" t="s">
        <v>13</v>
      </c>
    </row>
    <row r="92" spans="1:26" ht="12.75" customHeight="1" x14ac:dyDescent="0.25">
      <c r="A92" s="20">
        <v>44713</v>
      </c>
      <c r="B92" s="21" t="s">
        <v>72</v>
      </c>
      <c r="C92" s="21" t="s">
        <v>119</v>
      </c>
      <c r="D92" s="21">
        <v>225</v>
      </c>
      <c r="E92" s="4"/>
      <c r="F92" s="11" t="s">
        <v>13</v>
      </c>
    </row>
    <row r="93" spans="1:26" ht="12.75" customHeight="1" x14ac:dyDescent="0.25">
      <c r="A93" s="20">
        <v>44715</v>
      </c>
      <c r="B93" s="21" t="s">
        <v>78</v>
      </c>
      <c r="C93" s="21"/>
      <c r="D93" s="21">
        <v>5</v>
      </c>
      <c r="E93" s="4"/>
      <c r="F93" s="11" t="s">
        <v>13</v>
      </c>
    </row>
    <row r="94" spans="1:26" ht="12.75" customHeight="1" x14ac:dyDescent="0.25">
      <c r="A94" s="14">
        <v>44742</v>
      </c>
      <c r="B94" s="15" t="s">
        <v>68</v>
      </c>
      <c r="C94" s="15"/>
      <c r="D94" s="15">
        <v>50</v>
      </c>
      <c r="E94" s="12"/>
      <c r="F94" s="11" t="s">
        <v>13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5">
      <c r="A95" s="20">
        <v>44743</v>
      </c>
      <c r="B95" s="21" t="s">
        <v>64</v>
      </c>
      <c r="C95" s="21" t="s">
        <v>120</v>
      </c>
      <c r="D95" s="21">
        <v>250</v>
      </c>
      <c r="E95" s="4"/>
      <c r="F95" s="11" t="s">
        <v>13</v>
      </c>
    </row>
    <row r="96" spans="1:26" ht="12.75" customHeight="1" x14ac:dyDescent="0.25">
      <c r="A96" s="20">
        <v>44743</v>
      </c>
      <c r="B96" s="21" t="s">
        <v>78</v>
      </c>
      <c r="C96" s="21" t="s">
        <v>121</v>
      </c>
      <c r="D96" s="21">
        <v>225</v>
      </c>
      <c r="E96" s="4"/>
      <c r="F96" s="11" t="s">
        <v>13</v>
      </c>
    </row>
    <row r="97" spans="1:6" ht="12.75" customHeight="1" x14ac:dyDescent="0.25">
      <c r="A97" s="20">
        <v>44743</v>
      </c>
      <c r="B97" s="21" t="s">
        <v>66</v>
      </c>
      <c r="C97" s="21" t="s">
        <v>122</v>
      </c>
      <c r="D97" s="21">
        <v>300</v>
      </c>
      <c r="E97" s="4"/>
      <c r="F97" s="11" t="s">
        <v>13</v>
      </c>
    </row>
    <row r="98" spans="1:6" ht="12.75" customHeight="1" x14ac:dyDescent="0.25">
      <c r="A98" s="20">
        <v>44743</v>
      </c>
      <c r="B98" s="21" t="s">
        <v>68</v>
      </c>
      <c r="C98" s="21" t="s">
        <v>123</v>
      </c>
      <c r="D98" s="21">
        <v>250</v>
      </c>
      <c r="E98" s="4"/>
      <c r="F98" s="11" t="s">
        <v>13</v>
      </c>
    </row>
    <row r="99" spans="1:6" ht="12.75" customHeight="1" x14ac:dyDescent="0.25">
      <c r="A99" s="20">
        <v>44743</v>
      </c>
      <c r="B99" s="21" t="s">
        <v>70</v>
      </c>
      <c r="C99" s="21" t="s">
        <v>124</v>
      </c>
      <c r="D99" s="21">
        <v>250</v>
      </c>
      <c r="E99" s="4"/>
      <c r="F99" s="11" t="s">
        <v>13</v>
      </c>
    </row>
    <row r="100" spans="1:6" ht="12.75" customHeight="1" x14ac:dyDescent="0.25">
      <c r="A100" s="20">
        <v>44743</v>
      </c>
      <c r="B100" s="21" t="s">
        <v>74</v>
      </c>
      <c r="C100" s="21" t="s">
        <v>125</v>
      </c>
      <c r="D100" s="21">
        <v>200</v>
      </c>
      <c r="E100" s="4"/>
      <c r="F100" s="11" t="s">
        <v>13</v>
      </c>
    </row>
    <row r="101" spans="1:6" ht="12.75" customHeight="1" x14ac:dyDescent="0.25">
      <c r="A101" s="20">
        <v>44743</v>
      </c>
      <c r="B101" s="21" t="s">
        <v>76</v>
      </c>
      <c r="C101" s="21" t="s">
        <v>126</v>
      </c>
      <c r="D101" s="21">
        <v>200</v>
      </c>
      <c r="E101" s="4"/>
      <c r="F101" s="11" t="s">
        <v>13</v>
      </c>
    </row>
    <row r="102" spans="1:6" ht="12.75" customHeight="1" x14ac:dyDescent="0.25">
      <c r="A102" s="20">
        <v>44743</v>
      </c>
      <c r="B102" s="21" t="s">
        <v>72</v>
      </c>
      <c r="C102" s="21" t="s">
        <v>127</v>
      </c>
      <c r="D102" s="21">
        <v>225</v>
      </c>
      <c r="E102" s="4"/>
      <c r="F102" s="11" t="s">
        <v>13</v>
      </c>
    </row>
    <row r="103" spans="1:6" ht="12.75" customHeight="1" x14ac:dyDescent="0.25">
      <c r="A103" s="20">
        <v>44774</v>
      </c>
      <c r="B103" s="21" t="s">
        <v>78</v>
      </c>
      <c r="C103" s="21" t="s">
        <v>128</v>
      </c>
      <c r="D103" s="21">
        <v>300</v>
      </c>
      <c r="E103" s="4"/>
      <c r="F103" s="11" t="s">
        <v>13</v>
      </c>
    </row>
    <row r="104" spans="1:6" ht="12.75" customHeight="1" x14ac:dyDescent="0.25">
      <c r="A104" s="20">
        <v>44774</v>
      </c>
      <c r="B104" s="21" t="s">
        <v>64</v>
      </c>
      <c r="C104" s="21" t="s">
        <v>129</v>
      </c>
      <c r="D104" s="21">
        <v>250</v>
      </c>
      <c r="E104" s="4"/>
      <c r="F104" s="11" t="s">
        <v>13</v>
      </c>
    </row>
    <row r="105" spans="1:6" ht="12.75" customHeight="1" x14ac:dyDescent="0.25">
      <c r="A105" s="20">
        <v>44774</v>
      </c>
      <c r="B105" s="21" t="s">
        <v>66</v>
      </c>
      <c r="C105" s="21" t="s">
        <v>130</v>
      </c>
      <c r="D105" s="21">
        <v>300</v>
      </c>
      <c r="E105" s="4"/>
      <c r="F105" s="11" t="s">
        <v>13</v>
      </c>
    </row>
    <row r="106" spans="1:6" ht="12.75" customHeight="1" x14ac:dyDescent="0.25">
      <c r="A106" s="20">
        <v>44774</v>
      </c>
      <c r="B106" s="21" t="s">
        <v>68</v>
      </c>
      <c r="C106" s="21" t="s">
        <v>131</v>
      </c>
      <c r="D106" s="21">
        <v>250</v>
      </c>
      <c r="E106" s="4"/>
      <c r="F106" s="11" t="s">
        <v>13</v>
      </c>
    </row>
    <row r="107" spans="1:6" ht="12.75" customHeight="1" x14ac:dyDescent="0.25">
      <c r="A107" s="20">
        <v>44774</v>
      </c>
      <c r="B107" s="21" t="s">
        <v>70</v>
      </c>
      <c r="C107" s="21" t="s">
        <v>132</v>
      </c>
      <c r="D107" s="21">
        <v>250</v>
      </c>
      <c r="E107" s="4"/>
      <c r="F107" s="11" t="s">
        <v>13</v>
      </c>
    </row>
    <row r="108" spans="1:6" ht="12.75" customHeight="1" x14ac:dyDescent="0.25">
      <c r="A108" s="20">
        <v>44774</v>
      </c>
      <c r="B108" s="21" t="s">
        <v>74</v>
      </c>
      <c r="C108" s="21" t="s">
        <v>133</v>
      </c>
      <c r="D108" s="21">
        <v>200</v>
      </c>
      <c r="E108" s="4"/>
      <c r="F108" s="11" t="s">
        <v>13</v>
      </c>
    </row>
    <row r="109" spans="1:6" ht="12.75" customHeight="1" x14ac:dyDescent="0.25">
      <c r="A109" s="20">
        <v>44774</v>
      </c>
      <c r="B109" s="21" t="s">
        <v>76</v>
      </c>
      <c r="C109" s="21" t="s">
        <v>134</v>
      </c>
      <c r="D109" s="21">
        <v>200</v>
      </c>
      <c r="E109" s="4"/>
      <c r="F109" s="11" t="s">
        <v>13</v>
      </c>
    </row>
    <row r="110" spans="1:6" ht="12.75" customHeight="1" x14ac:dyDescent="0.25">
      <c r="A110" s="20">
        <v>44774</v>
      </c>
      <c r="B110" s="21" t="s">
        <v>135</v>
      </c>
      <c r="C110" s="21" t="s">
        <v>136</v>
      </c>
      <c r="D110" s="21">
        <v>600</v>
      </c>
      <c r="E110" s="4"/>
      <c r="F110" s="11" t="s">
        <v>13</v>
      </c>
    </row>
    <row r="111" spans="1:6" ht="12.75" customHeight="1" x14ac:dyDescent="0.25">
      <c r="A111" s="20">
        <v>44804</v>
      </c>
      <c r="B111" s="21" t="s">
        <v>64</v>
      </c>
      <c r="C111" s="21" t="s">
        <v>137</v>
      </c>
      <c r="D111" s="21">
        <v>50</v>
      </c>
      <c r="E111" s="4"/>
      <c r="F111" s="11" t="s">
        <v>13</v>
      </c>
    </row>
    <row r="112" spans="1:6" ht="12.75" customHeight="1" x14ac:dyDescent="0.25">
      <c r="A112" s="20">
        <v>44805</v>
      </c>
      <c r="B112" s="21" t="s">
        <v>138</v>
      </c>
      <c r="C112" s="21" t="s">
        <v>139</v>
      </c>
      <c r="D112" s="21">
        <v>300</v>
      </c>
      <c r="E112" s="4"/>
      <c r="F112" s="11" t="s">
        <v>13</v>
      </c>
    </row>
    <row r="113" spans="1:6" ht="12.75" customHeight="1" x14ac:dyDescent="0.25">
      <c r="A113" s="20">
        <v>44805</v>
      </c>
      <c r="B113" s="21" t="s">
        <v>74</v>
      </c>
      <c r="C113" s="21" t="s">
        <v>140</v>
      </c>
      <c r="D113" s="21">
        <v>200</v>
      </c>
      <c r="E113" s="4"/>
      <c r="F113" s="11" t="s">
        <v>13</v>
      </c>
    </row>
    <row r="114" spans="1:6" ht="12.75" customHeight="1" x14ac:dyDescent="0.25">
      <c r="A114" s="20">
        <v>44805</v>
      </c>
      <c r="B114" s="21" t="s">
        <v>70</v>
      </c>
      <c r="C114" s="21" t="s">
        <v>141</v>
      </c>
      <c r="D114" s="21">
        <v>250</v>
      </c>
      <c r="E114" s="4"/>
      <c r="F114" s="11" t="s">
        <v>13</v>
      </c>
    </row>
    <row r="115" spans="1:6" ht="12.75" customHeight="1" x14ac:dyDescent="0.25">
      <c r="A115" s="20">
        <v>44805</v>
      </c>
      <c r="B115" s="21" t="s">
        <v>68</v>
      </c>
      <c r="C115" s="21" t="s">
        <v>142</v>
      </c>
      <c r="D115" s="21">
        <v>250</v>
      </c>
      <c r="E115" s="4"/>
      <c r="F115" s="11" t="s">
        <v>13</v>
      </c>
    </row>
    <row r="116" spans="1:6" ht="12.75" customHeight="1" x14ac:dyDescent="0.25">
      <c r="A116" s="20">
        <v>44805</v>
      </c>
      <c r="B116" s="21" t="s">
        <v>66</v>
      </c>
      <c r="C116" s="21" t="s">
        <v>143</v>
      </c>
      <c r="D116" s="21">
        <v>300</v>
      </c>
      <c r="E116" s="4"/>
      <c r="F116" s="11" t="s">
        <v>13</v>
      </c>
    </row>
    <row r="117" spans="1:6" ht="12.75" customHeight="1" x14ac:dyDescent="0.25">
      <c r="A117" s="20">
        <v>44805</v>
      </c>
      <c r="B117" s="21" t="s">
        <v>64</v>
      </c>
      <c r="C117" s="21" t="s">
        <v>144</v>
      </c>
      <c r="D117" s="21">
        <v>250</v>
      </c>
      <c r="E117" s="4"/>
      <c r="F117" s="11" t="s">
        <v>13</v>
      </c>
    </row>
    <row r="118" spans="1:6" ht="12.75" customHeight="1" x14ac:dyDescent="0.25">
      <c r="A118" s="20">
        <v>44806</v>
      </c>
      <c r="B118" s="21" t="s">
        <v>78</v>
      </c>
      <c r="C118" s="21" t="s">
        <v>145</v>
      </c>
      <c r="D118" s="21">
        <v>300</v>
      </c>
      <c r="E118" s="4"/>
      <c r="F118" s="11" t="s">
        <v>13</v>
      </c>
    </row>
    <row r="119" spans="1:6" ht="12.75" customHeight="1" x14ac:dyDescent="0.25">
      <c r="A119" s="20">
        <v>44835</v>
      </c>
      <c r="B119" s="21" t="s">
        <v>66</v>
      </c>
      <c r="C119" s="21" t="s">
        <v>146</v>
      </c>
      <c r="D119" s="21">
        <v>300</v>
      </c>
      <c r="E119" s="4"/>
      <c r="F119" s="11" t="s">
        <v>13</v>
      </c>
    </row>
    <row r="120" spans="1:6" ht="12.75" customHeight="1" x14ac:dyDescent="0.25">
      <c r="A120" s="20">
        <v>44835</v>
      </c>
      <c r="B120" s="21" t="s">
        <v>64</v>
      </c>
      <c r="C120" s="21" t="s">
        <v>147</v>
      </c>
      <c r="D120" s="21">
        <v>300</v>
      </c>
      <c r="E120" s="4"/>
      <c r="F120" s="11" t="s">
        <v>13</v>
      </c>
    </row>
    <row r="121" spans="1:6" ht="12.75" customHeight="1" x14ac:dyDescent="0.25">
      <c r="A121" s="20">
        <v>44835</v>
      </c>
      <c r="B121" s="21" t="s">
        <v>76</v>
      </c>
      <c r="C121" s="21" t="s">
        <v>148</v>
      </c>
      <c r="D121" s="21">
        <v>200</v>
      </c>
      <c r="E121" s="27" t="s">
        <v>149</v>
      </c>
      <c r="F121" s="11" t="s">
        <v>13</v>
      </c>
    </row>
    <row r="122" spans="1:6" ht="12.75" customHeight="1" x14ac:dyDescent="0.25">
      <c r="A122" s="20">
        <v>44838</v>
      </c>
      <c r="B122" s="21" t="s">
        <v>76</v>
      </c>
      <c r="C122" s="21" t="s">
        <v>150</v>
      </c>
      <c r="D122" s="21">
        <v>275</v>
      </c>
      <c r="E122" s="4"/>
      <c r="F122" s="11" t="s">
        <v>13</v>
      </c>
    </row>
    <row r="123" spans="1:6" ht="12.75" customHeight="1" x14ac:dyDescent="0.25">
      <c r="A123" s="20">
        <v>44838</v>
      </c>
      <c r="B123" s="21" t="s">
        <v>70</v>
      </c>
      <c r="C123" s="21" t="s">
        <v>151</v>
      </c>
      <c r="D123" s="21">
        <v>300</v>
      </c>
      <c r="E123" s="4"/>
      <c r="F123" s="11" t="s">
        <v>13</v>
      </c>
    </row>
    <row r="124" spans="1:6" ht="12.75" customHeight="1" x14ac:dyDescent="0.25">
      <c r="A124" s="20">
        <v>44838</v>
      </c>
      <c r="B124" s="21" t="s">
        <v>78</v>
      </c>
      <c r="C124" s="21" t="s">
        <v>152</v>
      </c>
      <c r="D124" s="21">
        <v>300</v>
      </c>
      <c r="E124" s="4"/>
      <c r="F124" s="11" t="s">
        <v>13</v>
      </c>
    </row>
    <row r="125" spans="1:6" ht="12.75" customHeight="1" x14ac:dyDescent="0.25">
      <c r="A125" s="20">
        <v>44838</v>
      </c>
      <c r="B125" s="21" t="s">
        <v>74</v>
      </c>
      <c r="C125" s="21" t="s">
        <v>153</v>
      </c>
      <c r="D125" s="21">
        <v>300</v>
      </c>
      <c r="E125" s="4"/>
      <c r="F125" s="11" t="s">
        <v>13</v>
      </c>
    </row>
    <row r="126" spans="1:6" ht="12.75" customHeight="1" x14ac:dyDescent="0.25">
      <c r="A126" s="20">
        <v>44841</v>
      </c>
      <c r="B126" s="21" t="s">
        <v>138</v>
      </c>
      <c r="C126" s="21" t="s">
        <v>154</v>
      </c>
      <c r="D126" s="21">
        <v>300</v>
      </c>
      <c r="E126" s="4"/>
      <c r="F126" s="11" t="s">
        <v>13</v>
      </c>
    </row>
    <row r="127" spans="1:6" ht="12.75" customHeight="1" x14ac:dyDescent="0.25">
      <c r="A127" s="20">
        <v>44866</v>
      </c>
      <c r="B127" s="21" t="s">
        <v>68</v>
      </c>
      <c r="C127" s="21" t="s">
        <v>155</v>
      </c>
      <c r="D127" s="21">
        <v>300</v>
      </c>
      <c r="E127" s="4"/>
      <c r="F127" s="11" t="s">
        <v>13</v>
      </c>
    </row>
    <row r="128" spans="1:6" ht="12.75" customHeight="1" x14ac:dyDescent="0.25">
      <c r="A128" s="20">
        <v>44867</v>
      </c>
      <c r="B128" s="21" t="s">
        <v>74</v>
      </c>
      <c r="C128" s="21" t="s">
        <v>156</v>
      </c>
      <c r="D128" s="21">
        <v>300</v>
      </c>
      <c r="E128" s="4"/>
      <c r="F128" s="11" t="s">
        <v>13</v>
      </c>
    </row>
    <row r="129" spans="1:6" ht="12.75" customHeight="1" x14ac:dyDescent="0.25">
      <c r="A129" s="20">
        <v>44874</v>
      </c>
      <c r="B129" s="21" t="s">
        <v>138</v>
      </c>
      <c r="C129" s="21" t="s">
        <v>157</v>
      </c>
      <c r="D129" s="21">
        <v>300</v>
      </c>
      <c r="E129" s="4"/>
      <c r="F129" s="11" t="s">
        <v>13</v>
      </c>
    </row>
    <row r="130" spans="1:6" ht="12.75" customHeight="1" x14ac:dyDescent="0.25">
      <c r="A130" s="20">
        <v>44874</v>
      </c>
      <c r="B130" s="21" t="s">
        <v>70</v>
      </c>
      <c r="C130" s="21" t="s">
        <v>158</v>
      </c>
      <c r="D130" s="21">
        <v>300</v>
      </c>
      <c r="E130" s="4"/>
      <c r="F130" s="11" t="s">
        <v>13</v>
      </c>
    </row>
    <row r="131" spans="1:6" ht="12.75" customHeight="1" x14ac:dyDescent="0.25">
      <c r="A131" s="20">
        <v>44874</v>
      </c>
      <c r="B131" s="21" t="s">
        <v>68</v>
      </c>
      <c r="C131" s="21" t="s">
        <v>159</v>
      </c>
      <c r="D131" s="21">
        <v>300</v>
      </c>
      <c r="E131" s="4"/>
      <c r="F131" s="11" t="s">
        <v>13</v>
      </c>
    </row>
    <row r="132" spans="1:6" ht="12.75" customHeight="1" x14ac:dyDescent="0.25">
      <c r="A132" s="20">
        <v>44874</v>
      </c>
      <c r="B132" s="21" t="s">
        <v>66</v>
      </c>
      <c r="C132" s="21" t="s">
        <v>160</v>
      </c>
      <c r="D132" s="21">
        <v>300</v>
      </c>
      <c r="E132" s="4"/>
      <c r="F132" s="11" t="s">
        <v>13</v>
      </c>
    </row>
    <row r="133" spans="1:6" ht="12.75" customHeight="1" x14ac:dyDescent="0.25">
      <c r="A133" s="20">
        <v>44874</v>
      </c>
      <c r="B133" s="21" t="s">
        <v>64</v>
      </c>
      <c r="C133" s="21" t="s">
        <v>161</v>
      </c>
      <c r="D133" s="21">
        <v>300</v>
      </c>
      <c r="E133" s="4"/>
      <c r="F133" s="11" t="s">
        <v>13</v>
      </c>
    </row>
    <row r="134" spans="1:6" ht="12.75" customHeight="1" x14ac:dyDescent="0.25">
      <c r="A134" s="20">
        <v>44874</v>
      </c>
      <c r="B134" s="21" t="s">
        <v>78</v>
      </c>
      <c r="C134" s="21" t="s">
        <v>162</v>
      </c>
      <c r="D134" s="21">
        <v>300</v>
      </c>
      <c r="E134" s="4"/>
      <c r="F134" s="11" t="s">
        <v>13</v>
      </c>
    </row>
    <row r="135" spans="1:6" ht="12.75" customHeight="1" x14ac:dyDescent="0.25">
      <c r="A135" s="20">
        <v>44876</v>
      </c>
      <c r="B135" s="21" t="s">
        <v>76</v>
      </c>
      <c r="C135" s="21" t="s">
        <v>163</v>
      </c>
      <c r="D135" s="21">
        <v>200</v>
      </c>
      <c r="E135" s="4"/>
      <c r="F135" s="11" t="s">
        <v>13</v>
      </c>
    </row>
    <row r="136" spans="1:6" ht="12.75" customHeight="1" x14ac:dyDescent="0.25">
      <c r="A136" s="20">
        <v>44896</v>
      </c>
      <c r="B136" s="21" t="s">
        <v>76</v>
      </c>
      <c r="C136" s="21" t="s">
        <v>164</v>
      </c>
      <c r="D136" s="21">
        <v>275</v>
      </c>
      <c r="E136" s="4"/>
      <c r="F136" s="11" t="s">
        <v>13</v>
      </c>
    </row>
    <row r="137" spans="1:6" ht="12.75" customHeight="1" x14ac:dyDescent="0.25">
      <c r="A137" s="20">
        <v>44896</v>
      </c>
      <c r="B137" s="21" t="s">
        <v>74</v>
      </c>
      <c r="C137" s="21" t="s">
        <v>165</v>
      </c>
      <c r="D137" s="21">
        <v>300</v>
      </c>
      <c r="E137" s="4"/>
      <c r="F137" s="11" t="s">
        <v>13</v>
      </c>
    </row>
    <row r="138" spans="1:6" ht="12.75" customHeight="1" x14ac:dyDescent="0.25">
      <c r="A138" s="20">
        <v>44896</v>
      </c>
      <c r="B138" s="21" t="s">
        <v>138</v>
      </c>
      <c r="C138" s="21" t="s">
        <v>166</v>
      </c>
      <c r="D138" s="21">
        <v>300</v>
      </c>
      <c r="E138" s="4"/>
      <c r="F138" s="11" t="s">
        <v>13</v>
      </c>
    </row>
    <row r="139" spans="1:6" ht="12.75" customHeight="1" x14ac:dyDescent="0.25">
      <c r="A139" s="20">
        <v>44896</v>
      </c>
      <c r="B139" s="21" t="s">
        <v>70</v>
      </c>
      <c r="C139" s="21" t="s">
        <v>167</v>
      </c>
      <c r="D139" s="21">
        <v>300</v>
      </c>
      <c r="E139" s="4"/>
      <c r="F139" s="11" t="s">
        <v>13</v>
      </c>
    </row>
    <row r="140" spans="1:6" ht="12.75" customHeight="1" x14ac:dyDescent="0.25">
      <c r="A140" s="20">
        <v>44896</v>
      </c>
      <c r="B140" s="21" t="s">
        <v>68</v>
      </c>
      <c r="C140" s="21" t="s">
        <v>168</v>
      </c>
      <c r="D140" s="21">
        <v>300</v>
      </c>
      <c r="E140" s="4"/>
      <c r="F140" s="11" t="s">
        <v>13</v>
      </c>
    </row>
    <row r="141" spans="1:6" ht="12.75" customHeight="1" x14ac:dyDescent="0.25">
      <c r="A141" s="20">
        <v>44896</v>
      </c>
      <c r="B141" s="21" t="s">
        <v>64</v>
      </c>
      <c r="C141" s="21" t="s">
        <v>169</v>
      </c>
      <c r="D141" s="21">
        <v>300</v>
      </c>
      <c r="E141" s="4"/>
      <c r="F141" s="11" t="s">
        <v>13</v>
      </c>
    </row>
    <row r="142" spans="1:6" ht="12.75" customHeight="1" x14ac:dyDescent="0.25">
      <c r="A142" s="20">
        <v>44896</v>
      </c>
      <c r="B142" s="21" t="s">
        <v>78</v>
      </c>
      <c r="C142" s="21" t="s">
        <v>170</v>
      </c>
      <c r="D142" s="21">
        <v>300</v>
      </c>
      <c r="E142" s="4"/>
      <c r="F142" s="11" t="s">
        <v>13</v>
      </c>
    </row>
    <row r="143" spans="1:6" ht="12.75" customHeight="1" x14ac:dyDescent="0.25">
      <c r="A143" s="20">
        <v>44903</v>
      </c>
      <c r="B143" s="21" t="s">
        <v>66</v>
      </c>
      <c r="C143" s="21"/>
      <c r="D143" s="21">
        <v>300</v>
      </c>
      <c r="E143" s="27" t="s">
        <v>171</v>
      </c>
      <c r="F143" s="11" t="s">
        <v>13</v>
      </c>
    </row>
    <row r="144" spans="1:6" ht="12.75" customHeight="1" x14ac:dyDescent="0.25">
      <c r="A144" s="20">
        <v>44927</v>
      </c>
      <c r="B144" s="21" t="s">
        <v>78</v>
      </c>
      <c r="C144" s="21" t="s">
        <v>172</v>
      </c>
      <c r="D144" s="21">
        <v>300</v>
      </c>
      <c r="E144" s="4"/>
      <c r="F144" s="11" t="s">
        <v>13</v>
      </c>
    </row>
    <row r="145" spans="1:6" ht="12.75" customHeight="1" x14ac:dyDescent="0.25">
      <c r="A145" s="20">
        <v>44927</v>
      </c>
      <c r="B145" s="21" t="s">
        <v>70</v>
      </c>
      <c r="C145" s="21" t="s">
        <v>71</v>
      </c>
      <c r="D145" s="21">
        <v>300</v>
      </c>
      <c r="E145" s="4"/>
      <c r="F145" s="11" t="s">
        <v>13</v>
      </c>
    </row>
    <row r="146" spans="1:6" ht="12.75" customHeight="1" x14ac:dyDescent="0.25">
      <c r="A146" s="20">
        <v>44927</v>
      </c>
      <c r="B146" s="21" t="s">
        <v>76</v>
      </c>
      <c r="C146" s="21" t="s">
        <v>173</v>
      </c>
      <c r="D146" s="21">
        <v>275</v>
      </c>
      <c r="E146" s="4"/>
      <c r="F146" s="11" t="s">
        <v>13</v>
      </c>
    </row>
    <row r="147" spans="1:6" ht="12.75" customHeight="1" x14ac:dyDescent="0.25">
      <c r="A147" s="20">
        <v>44927</v>
      </c>
      <c r="B147" s="21" t="s">
        <v>174</v>
      </c>
      <c r="C147" s="21"/>
      <c r="D147" s="21">
        <v>400</v>
      </c>
      <c r="E147" s="4"/>
      <c r="F147" s="11" t="s">
        <v>13</v>
      </c>
    </row>
    <row r="148" spans="1:6" ht="12.75" customHeight="1" x14ac:dyDescent="0.25">
      <c r="A148" s="20">
        <v>44928</v>
      </c>
      <c r="B148" s="21" t="s">
        <v>74</v>
      </c>
      <c r="C148" s="21" t="s">
        <v>175</v>
      </c>
      <c r="D148" s="21">
        <v>300</v>
      </c>
      <c r="E148" s="4"/>
      <c r="F148" s="11" t="s">
        <v>13</v>
      </c>
    </row>
    <row r="149" spans="1:6" ht="12.75" customHeight="1" x14ac:dyDescent="0.25">
      <c r="A149" s="20">
        <v>44929</v>
      </c>
      <c r="B149" s="21" t="s">
        <v>138</v>
      </c>
      <c r="C149" s="21"/>
      <c r="D149" s="21">
        <v>300</v>
      </c>
      <c r="E149" s="4"/>
      <c r="F149" s="11" t="s">
        <v>13</v>
      </c>
    </row>
    <row r="150" spans="1:6" ht="12.75" customHeight="1" x14ac:dyDescent="0.25">
      <c r="A150" s="20">
        <v>44932</v>
      </c>
      <c r="B150" s="21" t="s">
        <v>66</v>
      </c>
      <c r="C150" s="21"/>
      <c r="D150" s="21">
        <v>300</v>
      </c>
      <c r="E150" s="4"/>
      <c r="F150" s="11" t="s">
        <v>13</v>
      </c>
    </row>
    <row r="151" spans="1:6" ht="12.75" customHeight="1" x14ac:dyDescent="0.25">
      <c r="A151" s="20">
        <v>44934</v>
      </c>
      <c r="B151" s="21" t="s">
        <v>68</v>
      </c>
      <c r="C151" s="21"/>
      <c r="D151" s="21">
        <v>300</v>
      </c>
      <c r="E151" s="4"/>
      <c r="F151" s="11" t="s">
        <v>13</v>
      </c>
    </row>
    <row r="152" spans="1:6" ht="12.75" customHeight="1" x14ac:dyDescent="0.25">
      <c r="A152" s="37" t="s">
        <v>176</v>
      </c>
      <c r="B152" s="38"/>
      <c r="C152" s="2"/>
      <c r="D152" s="3">
        <f>SUM(D47:D151)</f>
        <v>26150</v>
      </c>
      <c r="E152" s="4"/>
      <c r="F152" s="4"/>
    </row>
    <row r="153" spans="1:6" ht="12.75" customHeight="1" x14ac:dyDescent="0.25">
      <c r="A153" s="5"/>
      <c r="B153" s="5"/>
      <c r="C153" s="5"/>
      <c r="D153" s="5"/>
      <c r="E153" s="5"/>
      <c r="F153" s="5"/>
    </row>
    <row r="154" spans="1:6" ht="12.75" customHeight="1" x14ac:dyDescent="0.25">
      <c r="A154" s="1">
        <v>44953</v>
      </c>
      <c r="B154" s="2" t="s">
        <v>177</v>
      </c>
      <c r="C154" s="2"/>
      <c r="D154" s="3">
        <f>(0+(D1)+(D44)+(0))-(0+(D152))</f>
        <v>645</v>
      </c>
      <c r="E154" s="4"/>
      <c r="F154" s="29"/>
    </row>
    <row r="155" spans="1:6" ht="12.75" customHeight="1" x14ac:dyDescent="0.25"/>
    <row r="156" spans="1:6" ht="12.75" customHeight="1" x14ac:dyDescent="0.25"/>
    <row r="157" spans="1:6" ht="12.75" customHeight="1" x14ac:dyDescent="0.25"/>
    <row r="158" spans="1:6" ht="12.75" customHeight="1" x14ac:dyDescent="0.25"/>
    <row r="159" spans="1:6" ht="12.75" customHeight="1" x14ac:dyDescent="0.25"/>
    <row r="160" spans="1:6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</sheetData>
  <mergeCells count="2">
    <mergeCell ref="A44:B44"/>
    <mergeCell ref="A152:B152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6640625" defaultRowHeight="15" customHeight="1" x14ac:dyDescent="0.25"/>
  <cols>
    <col min="1" max="1" width="14.21875" customWidth="1"/>
    <col min="2" max="2" width="23.88671875" customWidth="1"/>
    <col min="3" max="3" width="14.21875" customWidth="1"/>
    <col min="4" max="6" width="23.88671875" customWidth="1"/>
    <col min="7" max="8" width="14.21875" customWidth="1"/>
    <col min="9" max="26" width="8" customWidth="1"/>
  </cols>
  <sheetData>
    <row r="1" spans="1:9" ht="12.75" customHeight="1" x14ac:dyDescent="0.25">
      <c r="A1" s="39" t="s">
        <v>178</v>
      </c>
      <c r="B1" s="40"/>
      <c r="C1" s="40"/>
      <c r="D1" s="40"/>
      <c r="E1" s="40"/>
      <c r="F1" s="40"/>
      <c r="G1" s="40"/>
      <c r="H1" s="40"/>
    </row>
    <row r="2" spans="1:9" ht="12.75" customHeight="1" x14ac:dyDescent="0.25">
      <c r="A2" s="41" t="s">
        <v>179</v>
      </c>
      <c r="B2" s="40"/>
      <c r="C2" s="40"/>
      <c r="D2" s="40"/>
      <c r="E2" s="40"/>
      <c r="F2" s="40"/>
      <c r="G2" s="40"/>
      <c r="H2" s="40"/>
    </row>
    <row r="3" spans="1:9" ht="12.75" customHeight="1" x14ac:dyDescent="0.25">
      <c r="A3" s="41" t="s">
        <v>180</v>
      </c>
      <c r="B3" s="40"/>
      <c r="C3" s="40"/>
      <c r="D3" s="40"/>
      <c r="E3" s="40"/>
      <c r="F3" s="40"/>
      <c r="G3" s="40"/>
      <c r="H3" s="40"/>
    </row>
    <row r="4" spans="1:9" ht="12.75" customHeight="1" x14ac:dyDescent="0.25">
      <c r="A4" s="41" t="s">
        <v>181</v>
      </c>
      <c r="B4" s="40"/>
      <c r="C4" s="40"/>
      <c r="D4" s="40"/>
      <c r="E4" s="40"/>
      <c r="F4" s="40"/>
      <c r="G4" s="40"/>
      <c r="H4" s="40"/>
    </row>
    <row r="5" spans="1:9" ht="12.75" customHeight="1" x14ac:dyDescent="0.25"/>
    <row r="6" spans="1:9" ht="12.75" customHeight="1" x14ac:dyDescent="0.25">
      <c r="A6" s="30" t="s">
        <v>4</v>
      </c>
      <c r="B6" s="30" t="s">
        <v>5</v>
      </c>
      <c r="C6" s="30" t="s">
        <v>182</v>
      </c>
      <c r="D6" s="30" t="s">
        <v>6</v>
      </c>
      <c r="E6" s="30" t="s">
        <v>13</v>
      </c>
      <c r="F6" s="30" t="s">
        <v>183</v>
      </c>
      <c r="G6" s="30" t="s">
        <v>7</v>
      </c>
      <c r="H6" s="30" t="s">
        <v>184</v>
      </c>
      <c r="I6" s="31"/>
    </row>
    <row r="7" spans="1:9" ht="12.75" customHeight="1" x14ac:dyDescent="0.25"/>
    <row r="8" spans="1:9" ht="12.75" customHeight="1" x14ac:dyDescent="0.25">
      <c r="A8" s="32">
        <v>44927</v>
      </c>
      <c r="B8" s="33" t="s">
        <v>185</v>
      </c>
      <c r="C8" s="33"/>
      <c r="D8" s="33"/>
      <c r="E8" s="33"/>
      <c r="F8" s="33"/>
      <c r="G8" s="34"/>
      <c r="H8" s="34">
        <v>225</v>
      </c>
      <c r="I8" s="31"/>
    </row>
    <row r="9" spans="1:9" ht="12.75" customHeight="1" x14ac:dyDescent="0.25">
      <c r="A9" s="35">
        <v>44936</v>
      </c>
      <c r="B9" s="36" t="s">
        <v>33</v>
      </c>
      <c r="C9" s="35">
        <v>44952.782465277778</v>
      </c>
      <c r="D9" s="36" t="s">
        <v>186</v>
      </c>
      <c r="E9" s="36" t="s">
        <v>187</v>
      </c>
      <c r="F9" s="36" t="s">
        <v>188</v>
      </c>
      <c r="G9" s="36">
        <v>-25</v>
      </c>
      <c r="H9" s="36">
        <f>H8+G9</f>
        <v>200</v>
      </c>
      <c r="I9" s="31"/>
    </row>
    <row r="10" spans="1:9" ht="12.75" customHeight="1" x14ac:dyDescent="0.25">
      <c r="A10" s="33"/>
      <c r="B10" s="33" t="s">
        <v>189</v>
      </c>
      <c r="C10" s="33"/>
      <c r="D10" s="33"/>
      <c r="E10" s="33"/>
      <c r="F10" s="33"/>
      <c r="G10" s="34"/>
      <c r="H10" s="34">
        <f>H9</f>
        <v>200</v>
      </c>
      <c r="I10" s="31"/>
    </row>
    <row r="11" spans="1:9" ht="12.75" customHeight="1" x14ac:dyDescent="0.25"/>
    <row r="12" spans="1:9" ht="12.75" customHeight="1" x14ac:dyDescent="0.25"/>
    <row r="13" spans="1:9" ht="12.75" customHeight="1" x14ac:dyDescent="0.25"/>
    <row r="14" spans="1:9" ht="12.75" customHeight="1" x14ac:dyDescent="0.25"/>
    <row r="15" spans="1:9" ht="12.75" customHeight="1" x14ac:dyDescent="0.25"/>
    <row r="16" spans="1:9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">
    <mergeCell ref="A1:H1"/>
    <mergeCell ref="A2:H2"/>
    <mergeCell ref="A3:H3"/>
    <mergeCell ref="A4:H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6640625" defaultRowHeight="15" customHeight="1" x14ac:dyDescent="0.25"/>
  <cols>
    <col min="1" max="1" width="14.21875" customWidth="1"/>
    <col min="2" max="6" width="23.88671875" customWidth="1"/>
    <col min="7" max="7" width="14.21875" customWidth="1"/>
    <col min="8" max="26" width="8" customWidth="1"/>
  </cols>
  <sheetData>
    <row r="1" spans="1:8" ht="12.75" customHeight="1" x14ac:dyDescent="0.25">
      <c r="A1" s="39" t="s">
        <v>190</v>
      </c>
      <c r="B1" s="40"/>
      <c r="C1" s="40"/>
      <c r="D1" s="40"/>
      <c r="E1" s="40"/>
      <c r="F1" s="40"/>
      <c r="G1" s="40"/>
    </row>
    <row r="2" spans="1:8" ht="12.75" customHeight="1" x14ac:dyDescent="0.25">
      <c r="A2" s="41" t="s">
        <v>179</v>
      </c>
      <c r="B2" s="40"/>
      <c r="C2" s="40"/>
      <c r="D2" s="40"/>
      <c r="E2" s="40"/>
      <c r="F2" s="40"/>
      <c r="G2" s="40"/>
    </row>
    <row r="3" spans="1:8" ht="12.75" customHeight="1" x14ac:dyDescent="0.25">
      <c r="A3" s="41" t="s">
        <v>180</v>
      </c>
      <c r="B3" s="40"/>
      <c r="C3" s="40"/>
      <c r="D3" s="40"/>
      <c r="E3" s="40"/>
      <c r="F3" s="40"/>
      <c r="G3" s="40"/>
    </row>
    <row r="4" spans="1:8" ht="12.75" customHeight="1" x14ac:dyDescent="0.25">
      <c r="A4" s="41" t="s">
        <v>181</v>
      </c>
      <c r="B4" s="40"/>
      <c r="C4" s="40"/>
      <c r="D4" s="40"/>
      <c r="E4" s="40"/>
      <c r="F4" s="40"/>
      <c r="G4" s="40"/>
    </row>
    <row r="5" spans="1:8" ht="12.75" customHeight="1" x14ac:dyDescent="0.25"/>
    <row r="6" spans="1:8" ht="12.75" customHeight="1" x14ac:dyDescent="0.25">
      <c r="A6" s="30" t="s">
        <v>4</v>
      </c>
      <c r="B6" s="30" t="s">
        <v>5</v>
      </c>
      <c r="C6" s="30" t="s">
        <v>6</v>
      </c>
      <c r="D6" s="30" t="s">
        <v>13</v>
      </c>
      <c r="E6" s="30" t="s">
        <v>183</v>
      </c>
      <c r="F6" s="30" t="s">
        <v>191</v>
      </c>
      <c r="G6" s="30" t="s">
        <v>7</v>
      </c>
      <c r="H6" s="31"/>
    </row>
    <row r="7" spans="1:8" ht="12.75" customHeight="1" x14ac:dyDescent="0.25"/>
    <row r="8" spans="1:8" ht="12.75" customHeight="1" x14ac:dyDescent="0.25">
      <c r="A8" s="35">
        <v>44936</v>
      </c>
      <c r="B8" s="36" t="s">
        <v>33</v>
      </c>
      <c r="C8" s="36" t="s">
        <v>186</v>
      </c>
      <c r="D8" s="36" t="s">
        <v>187</v>
      </c>
      <c r="E8" s="36" t="s">
        <v>188</v>
      </c>
      <c r="F8" s="36" t="s">
        <v>192</v>
      </c>
      <c r="G8" s="36">
        <v>-25</v>
      </c>
      <c r="H8" s="31"/>
    </row>
    <row r="9" spans="1:8" ht="12.75" customHeight="1" x14ac:dyDescent="0.25"/>
    <row r="10" spans="1:8" ht="12.75" customHeight="1" x14ac:dyDescent="0.25"/>
    <row r="11" spans="1:8" ht="12.75" customHeight="1" x14ac:dyDescent="0.25"/>
    <row r="12" spans="1:8" ht="12.75" customHeight="1" x14ac:dyDescent="0.25"/>
    <row r="13" spans="1:8" ht="12.75" customHeight="1" x14ac:dyDescent="0.25"/>
    <row r="14" spans="1:8" ht="12.75" customHeight="1" x14ac:dyDescent="0.25"/>
    <row r="15" spans="1:8" ht="12.75" customHeight="1" x14ac:dyDescent="0.25"/>
    <row r="16" spans="1:8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">
    <mergeCell ref="A1:G1"/>
    <mergeCell ref="A2:G2"/>
    <mergeCell ref="A3:G3"/>
    <mergeCell ref="A4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Reconciliation Summar</vt:lpstr>
      <vt:lpstr>Bank Statement</vt:lpstr>
      <vt:lpstr>Statement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Thumelo Emma Ndebele</cp:lastModifiedBy>
  <dcterms:created xsi:type="dcterms:W3CDTF">2023-01-27T08:03:33Z</dcterms:created>
  <dcterms:modified xsi:type="dcterms:W3CDTF">2026-05-18T16:30:39Z</dcterms:modified>
</cp:coreProperties>
</file>