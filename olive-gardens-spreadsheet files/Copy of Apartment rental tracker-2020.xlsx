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" sheetId="1" r:id="rId5"/>
    <sheet state="visible" name="Expenditure" sheetId="2" r:id="rId6"/>
    <sheet state="visible" name="Income vs Expenditure" sheetId="3" r:id="rId7"/>
    <sheet state="hidden" name="Tenant movement schedule" sheetId="4" r:id="rId8"/>
    <sheet state="visible" name="Withdrawals recon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1">
      <text>
        <t xml:space="preserve">Renewed after every year cycle
</t>
      </text>
    </comment>
    <comment authorId="0" ref="O13">
      <text>
        <t xml:space="preserve">Renewed yearly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Microsoft Office User:
Will add entire complex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2">
      <text>
        <t xml:space="preserve">Microsoft Office User:
it would help to know the actual cost of each apartment so that we can further make use of this figure</t>
      </text>
    </comment>
  </commentList>
</comments>
</file>

<file path=xl/sharedStrings.xml><?xml version="1.0" encoding="utf-8"?>
<sst xmlns="http://schemas.openxmlformats.org/spreadsheetml/2006/main" count="413" uniqueCount="161">
  <si>
    <t>Chinhoyi Apartment tracker</t>
  </si>
  <si>
    <t>January - December 2020</t>
  </si>
  <si>
    <t xml:space="preserve">Income </t>
  </si>
  <si>
    <t xml:space="preserve">Year: </t>
  </si>
  <si>
    <t>Total Income</t>
  </si>
  <si>
    <t>Total deposits 2020</t>
  </si>
  <si>
    <t>Balances owed</t>
  </si>
  <si>
    <t>Total deposits prior</t>
  </si>
  <si>
    <t>Property Code</t>
  </si>
  <si>
    <t>Property Address</t>
  </si>
  <si>
    <t>Tenant Name</t>
  </si>
  <si>
    <t>Email address</t>
  </si>
  <si>
    <t>Phone Number</t>
  </si>
  <si>
    <t>ID number</t>
  </si>
  <si>
    <t>Move-In Date</t>
  </si>
  <si>
    <t xml:space="preserve">Lease expiry </t>
  </si>
  <si>
    <t>Unit 1</t>
  </si>
  <si>
    <t>458 North Drive CBD Chinhoyi</t>
  </si>
  <si>
    <t>Campion Chako</t>
  </si>
  <si>
    <t>chakoc@live.com</t>
  </si>
  <si>
    <t>Unit 2</t>
  </si>
  <si>
    <t>Tafadzwa Maposa</t>
  </si>
  <si>
    <t>ttmaposa3333@gmail.com</t>
  </si>
  <si>
    <t>Unit 3</t>
  </si>
  <si>
    <t>Linda Ndarangwa</t>
  </si>
  <si>
    <t xml:space="preserve">lindandarangwa@gmail.com </t>
  </si>
  <si>
    <t>Unit 4</t>
  </si>
  <si>
    <t>Desire Masango</t>
  </si>
  <si>
    <t>desiremasango@gmail.com</t>
  </si>
  <si>
    <t>Unit 5</t>
  </si>
  <si>
    <t>Tawanda Maheka</t>
  </si>
  <si>
    <t>kimropafadzo@gmail.com</t>
  </si>
  <si>
    <t>Unit 6</t>
  </si>
  <si>
    <t>Paul Kembo</t>
  </si>
  <si>
    <t>pmkembo@gmail.com</t>
  </si>
  <si>
    <t>Unit 7</t>
  </si>
  <si>
    <t>Antonaitte Kaochilima</t>
  </si>
  <si>
    <t>aaakacholima7@gmail.com</t>
  </si>
  <si>
    <t>Unit 8</t>
  </si>
  <si>
    <t>Clotilder Mukwangariva</t>
  </si>
  <si>
    <t>cmukwangwariva@gmail.com</t>
  </si>
  <si>
    <t>Security Deposits</t>
  </si>
  <si>
    <t>Total</t>
  </si>
  <si>
    <t>Date</t>
  </si>
  <si>
    <t>Amount</t>
  </si>
  <si>
    <t>Rental Income</t>
  </si>
  <si>
    <t>Rent due</t>
  </si>
  <si>
    <t>Amnt paid</t>
  </si>
  <si>
    <t>Balance</t>
  </si>
  <si>
    <t>Rent received</t>
  </si>
  <si>
    <t xml:space="preserve">January </t>
  </si>
  <si>
    <t>25/12/19</t>
  </si>
  <si>
    <t>February</t>
  </si>
  <si>
    <t>25/01/20</t>
  </si>
  <si>
    <t>March</t>
  </si>
  <si>
    <t>25/02/20</t>
  </si>
  <si>
    <t>April</t>
  </si>
  <si>
    <t>25/03/20</t>
  </si>
  <si>
    <t>May</t>
  </si>
  <si>
    <t>25/04/20</t>
  </si>
  <si>
    <t>June</t>
  </si>
  <si>
    <t>25/05/20</t>
  </si>
  <si>
    <t>July</t>
  </si>
  <si>
    <t>25/06/20</t>
  </si>
  <si>
    <t>August</t>
  </si>
  <si>
    <t>25/07/20</t>
  </si>
  <si>
    <t>September</t>
  </si>
  <si>
    <t>25/08/20</t>
  </si>
  <si>
    <t>October</t>
  </si>
  <si>
    <t>25/09/20</t>
  </si>
  <si>
    <t>November</t>
  </si>
  <si>
    <t>25/10/20</t>
  </si>
  <si>
    <t>December</t>
  </si>
  <si>
    <t>Total:</t>
  </si>
  <si>
    <t>Expenditure</t>
  </si>
  <si>
    <t>Period</t>
  </si>
  <si>
    <t>Category</t>
  </si>
  <si>
    <t>Amnt</t>
  </si>
  <si>
    <t>Unit Number</t>
  </si>
  <si>
    <t>Claiming or not claiming from tenant</t>
  </si>
  <si>
    <t>Additional notes</t>
  </si>
  <si>
    <t>02/'01/2020</t>
  </si>
  <si>
    <t>Wages &amp; salaries</t>
  </si>
  <si>
    <t>Not claiming from tenant</t>
  </si>
  <si>
    <t>Salary for both Baba Simba and Ncube</t>
  </si>
  <si>
    <t>Repairs</t>
  </si>
  <si>
    <t>Main gate Battery</t>
  </si>
  <si>
    <t>Other</t>
  </si>
  <si>
    <t>Worksuits</t>
  </si>
  <si>
    <t>Flex conncetor fixed</t>
  </si>
  <si>
    <t>Utilities</t>
  </si>
  <si>
    <t>Chinhoyi Council</t>
  </si>
  <si>
    <t>Withdrawals</t>
  </si>
  <si>
    <t>Salary for Baba Simba and Ncube</t>
  </si>
  <si>
    <t>Cleaning fee for Mai Simba</t>
  </si>
  <si>
    <t>Property taxes</t>
  </si>
  <si>
    <t>Payment to Itai</t>
  </si>
  <si>
    <t>Claiming from tenant</t>
  </si>
  <si>
    <t>Shower cage replacement</t>
  </si>
  <si>
    <t>Salary for Ncube and Baba Simba</t>
  </si>
  <si>
    <t>Labour for shower cage</t>
  </si>
  <si>
    <t>clearing flat 7, transport and cleaning</t>
  </si>
  <si>
    <t>Repairs to flat 5 and 7</t>
  </si>
  <si>
    <t>Cleaning fee</t>
  </si>
  <si>
    <t>Baba Simba and Ncube Salaries</t>
  </si>
  <si>
    <t>ZESA recharge</t>
  </si>
  <si>
    <t>Salaries for Baba Simba and Ncube</t>
  </si>
  <si>
    <t>Gate change (Material + Labour)</t>
  </si>
  <si>
    <t>Maintenance</t>
  </si>
  <si>
    <t>Hired rods for blocked sewer</t>
  </si>
  <si>
    <t>Flat 7 and 8 Door fixtures</t>
  </si>
  <si>
    <t>Baba Simba and Ncube's Salary</t>
  </si>
  <si>
    <t>Gutter repairs around the property</t>
  </si>
  <si>
    <t>Grand total</t>
  </si>
  <si>
    <t>Income vs Expenditure</t>
  </si>
  <si>
    <t>Income vs expenditure</t>
  </si>
  <si>
    <t>January 2020 - December 2020</t>
  </si>
  <si>
    <t>INCOME</t>
  </si>
  <si>
    <t>ANNUAL</t>
  </si>
  <si>
    <t>TOTAL INCOME</t>
  </si>
  <si>
    <t>DEPOSITS 2020</t>
  </si>
  <si>
    <t>TOTAL DEPOSITS</t>
  </si>
  <si>
    <t>TOTAL INCOME &amp; DEPOSITS</t>
  </si>
  <si>
    <t>EXPENSES</t>
  </si>
  <si>
    <t>TOTALS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</si>
  <si>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</si>
  <si>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</si>
  <si>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</si>
  <si>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</si>
  <si>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</si>
  <si>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</si>
  <si>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</si>
  <si>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</si>
  <si>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</si>
  <si>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</si>
  <si>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</si>
  <si>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</si>
  <si>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EXPENSES</t>
  </si>
  <si>
    <t>NET OPERATING INCOME</t>
  </si>
  <si>
    <t>Loan repayment withdrawals</t>
  </si>
  <si>
    <t>Total loan repayment</t>
  </si>
  <si>
    <t>NET CASH FLOW</t>
  </si>
  <si>
    <t>January</t>
  </si>
  <si>
    <t>Econet</t>
  </si>
  <si>
    <t>Edgars</t>
  </si>
  <si>
    <t>Electricity</t>
  </si>
  <si>
    <t>Gas</t>
  </si>
  <si>
    <t>DSTV</t>
  </si>
  <si>
    <t>Medical Aid (First Mutual)</t>
  </si>
  <si>
    <t>ZOL</t>
  </si>
  <si>
    <t>Fuel</t>
  </si>
  <si>
    <t xml:space="preserve">Mai Tino </t>
  </si>
  <si>
    <t>Aunty Precious</t>
  </si>
  <si>
    <t>Sherphard</t>
  </si>
  <si>
    <t>Thumelo Boarding Fees</t>
  </si>
  <si>
    <t>Groceries and Perishables</t>
  </si>
  <si>
    <t>Building</t>
  </si>
  <si>
    <t>Total expenses</t>
  </si>
  <si>
    <t>Unaaccounted amounts</t>
  </si>
  <si>
    <t>`</t>
  </si>
  <si>
    <t xml:space="preserve">will come back to this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</si>
</sst>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mmmm\ yyyy"/>
    <numFmt numFmtId="166" formatCode="&quot;$&quot;#,##0.00"/>
    <numFmt numFmtId="167" formatCode="&quot;$&quot;#,##0_);[Red]\(&quot;$&quot;#,##0\)"/>
  </numFmts>
  <fonts count="24">
    <font>
      <sz val="12.0"/>
      <color theme="1"/>
      <name val="Calibri"/>
      <scheme val="minor"/>
    </font>
    <font>
      <sz val="12.0"/>
      <color theme="1"/>
      <name val="Times New Roman"/>
    </font>
    <font>
      <i/>
      <sz val="12.0"/>
      <color theme="1"/>
      <name val="Arial"/>
    </font>
    <font>
      <sz val="14.0"/>
      <color rgb="FFC55A11"/>
      <name val="Times New Roman"/>
    </font>
    <font>
      <sz val="12.0"/>
      <color rgb="FFC55A11"/>
      <name val="Times New Roman"/>
    </font>
    <font>
      <b/>
      <sz val="12.0"/>
      <color theme="0"/>
      <name val="Times New Roman"/>
    </font>
    <font>
      <b/>
      <sz val="12.0"/>
      <color theme="1"/>
      <name val="Times New Roman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rgb="FFFFFFFF"/>
      <name val="Times New Roman"/>
    </font>
    <font>
      <i/>
      <sz val="11.0"/>
      <color theme="1"/>
      <name val="Arial"/>
    </font>
    <font>
      <u/>
      <sz val="12.0"/>
      <color theme="1"/>
      <name val="Times New Roman"/>
    </font>
    <font>
      <sz val="12.0"/>
      <color theme="1"/>
      <name val="Times"/>
    </font>
    <font>
      <sz val="14.0"/>
      <color rgb="FFC55A11"/>
      <name val="Times"/>
    </font>
    <font>
      <sz val="12.0"/>
      <color rgb="FFC55A11"/>
      <name val="Times"/>
    </font>
    <font>
      <b/>
      <sz val="12.0"/>
      <color theme="0"/>
      <name val="Times"/>
    </font>
    <font>
      <b/>
      <sz val="12.0"/>
      <color theme="1"/>
      <name val="Times"/>
    </font>
    <font>
      <sz val="10.0"/>
      <color theme="1"/>
      <name val="Times"/>
    </font>
    <font>
      <b/>
      <sz val="14.0"/>
      <color theme="0"/>
      <name val="Times"/>
    </font>
    <font>
      <sz val="11.0"/>
      <color theme="1"/>
      <name val="Times"/>
    </font>
    <font>
      <b/>
      <sz val="11.0"/>
      <color theme="1"/>
      <name val="Times"/>
    </font>
    <font>
      <sz val="11.0"/>
      <color rgb="FF3F3F3F"/>
      <name val="Times"/>
    </font>
    <font>
      <i/>
      <sz val="11.0"/>
      <color rgb="FFFF0000"/>
      <name val="Times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rgb="FF1E4E79"/>
        <bgColor rgb="FF1E4E79"/>
      </patternFill>
    </fill>
    <fill>
      <patternFill patternType="solid">
        <fgColor rgb="FFA5A5A5"/>
        <bgColor rgb="FFA5A5A5"/>
      </patternFill>
    </fill>
    <fill>
      <patternFill patternType="solid">
        <fgColor rgb="FFA8D08D"/>
        <bgColor rgb="FFA8D08D"/>
      </patternFill>
    </fill>
    <fill>
      <patternFill patternType="solid">
        <fgColor rgb="FF7F7F7F"/>
        <bgColor rgb="FF7F7F7F"/>
      </patternFill>
    </fill>
  </fills>
  <borders count="13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left style="thin">
        <color rgb="FF002060"/>
      </left>
      <top style="thin">
        <color rgb="FF002060"/>
      </top>
      <bottom style="thin">
        <color rgb="FF002060"/>
      </bottom>
    </border>
    <border>
      <top style="thin">
        <color rgb="FF002060"/>
      </top>
      <bottom style="thin">
        <color rgb="FF002060"/>
      </bottom>
    </border>
    <border>
      <right style="thin">
        <color rgb="FF002060"/>
      </right>
      <top style="thin">
        <color rgb="FF002060"/>
      </top>
      <bottom style="thin">
        <color rgb="FF002060"/>
      </bottom>
    </border>
    <border>
      <top/>
      <bottom/>
    </border>
    <border>
      <left/>
      <right/>
      <top/>
    </border>
    <border>
      <left/>
      <right/>
    </border>
    <border>
      <left/>
      <right/>
      <bottom/>
    </border>
    <border>
      <left/>
      <right/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Border="1" applyFill="1" applyFont="1"/>
    <xf borderId="0" fillId="0" fontId="6" numFmtId="0" xfId="0" applyFont="1"/>
    <xf borderId="2" fillId="2" fontId="5" numFmtId="0" xfId="0" applyAlignment="1" applyBorder="1" applyFont="1">
      <alignment horizontal="center"/>
    </xf>
    <xf borderId="3" fillId="0" fontId="7" numFmtId="0" xfId="0" applyBorder="1" applyFont="1"/>
    <xf borderId="0" fillId="0" fontId="8" numFmtId="164" xfId="0" applyFont="1" applyNumberFormat="1"/>
    <xf borderId="0" fillId="0" fontId="9" numFmtId="164" xfId="0" applyFont="1" applyNumberFormat="1"/>
    <xf borderId="0" fillId="0" fontId="6" numFmtId="164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horizontal="center"/>
    </xf>
    <xf borderId="4" fillId="2" fontId="5" numFmtId="0" xfId="0" applyAlignment="1" applyBorder="1" applyFont="1">
      <alignment horizontal="center"/>
    </xf>
    <xf borderId="5" fillId="2" fontId="5" numFmtId="0" xfId="0" applyAlignment="1" applyBorder="1" applyFont="1">
      <alignment horizontal="center"/>
    </xf>
    <xf borderId="6" fillId="0" fontId="7" numFmtId="0" xfId="0" applyBorder="1" applyFont="1"/>
    <xf borderId="7" fillId="0" fontId="7" numFmtId="0" xfId="0" applyBorder="1" applyFont="1"/>
    <xf borderId="5" fillId="2" fontId="10" numFmtId="0" xfId="0" applyAlignment="1" applyBorder="1" applyFont="1">
      <alignment horizontal="center"/>
    </xf>
    <xf borderId="4" fillId="2" fontId="5" numFmtId="0" xfId="0" applyBorder="1" applyFont="1"/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0" fontId="1" numFmtId="165" xfId="0" applyAlignment="1" applyBorder="1" applyFont="1" applyNumberFormat="1">
      <alignment horizontal="center"/>
    </xf>
    <xf borderId="4" fillId="3" fontId="6" numFmtId="0" xfId="0" applyBorder="1" applyFont="1"/>
    <xf borderId="4" fillId="0" fontId="1" numFmtId="0" xfId="0" applyBorder="1" applyFont="1"/>
    <xf borderId="4" fillId="3" fontId="1" numFmtId="164" xfId="0" applyAlignment="1" applyBorder="1" applyFont="1" applyNumberFormat="1">
      <alignment horizontal="right"/>
    </xf>
    <xf borderId="4" fillId="0" fontId="6" numFmtId="17" xfId="0" applyBorder="1" applyFont="1" applyNumberFormat="1"/>
    <xf borderId="4" fillId="0" fontId="1" numFmtId="164" xfId="0" applyBorder="1" applyFont="1" applyNumberFormat="1"/>
    <xf borderId="4" fillId="0" fontId="1" numFmtId="17" xfId="0" applyBorder="1" applyFont="1" applyNumberFormat="1"/>
    <xf borderId="4" fillId="0" fontId="6" numFmtId="164" xfId="0" applyBorder="1" applyFont="1" applyNumberFormat="1"/>
    <xf borderId="0" fillId="0" fontId="2" numFmtId="164" xfId="0" applyFont="1" applyNumberFormat="1"/>
    <xf borderId="4" fillId="3" fontId="6" numFmtId="0" xfId="0" applyAlignment="1" applyBorder="1" applyFont="1">
      <alignment horizontal="right"/>
    </xf>
    <xf borderId="4" fillId="0" fontId="6" numFmtId="0" xfId="0" applyBorder="1" applyFont="1"/>
    <xf borderId="0" fillId="0" fontId="6" numFmtId="0" xfId="0" applyAlignment="1" applyFont="1">
      <alignment horizontal="center"/>
    </xf>
    <xf borderId="8" fillId="0" fontId="7" numFmtId="0" xfId="0" applyBorder="1" applyFont="1"/>
    <xf borderId="0" fillId="0" fontId="11" numFmtId="0" xfId="0" applyFont="1"/>
    <xf borderId="1" fillId="3" fontId="6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3" fontId="1" numFmtId="0" xfId="0" applyBorder="1" applyFont="1"/>
    <xf borderId="1" fillId="3" fontId="1" numFmtId="0" xfId="0" applyAlignment="1" applyBorder="1" applyFont="1">
      <alignment horizontal="right"/>
    </xf>
    <xf borderId="1" fillId="4" fontId="1" numFmtId="164" xfId="0" applyBorder="1" applyFont="1" applyNumberFormat="1"/>
    <xf borderId="1" fillId="5" fontId="1" numFmtId="164" xfId="0" applyBorder="1" applyFont="1" applyNumberFormat="1"/>
    <xf borderId="1" fillId="4" fontId="1" numFmtId="166" xfId="0" applyBorder="1" applyFont="1" applyNumberFormat="1"/>
    <xf borderId="1" fillId="5" fontId="1" numFmtId="166" xfId="0" applyBorder="1" applyFont="1" applyNumberFormat="1"/>
    <xf borderId="1" fillId="3" fontId="1" numFmtId="164" xfId="0" applyBorder="1" applyFont="1" applyNumberFormat="1"/>
    <xf borderId="1" fillId="3" fontId="6" numFmtId="0" xfId="0" applyAlignment="1" applyBorder="1" applyFont="1">
      <alignment horizontal="right"/>
    </xf>
    <xf borderId="1" fillId="4" fontId="6" numFmtId="0" xfId="0" applyBorder="1" applyFont="1"/>
    <xf borderId="1" fillId="4" fontId="6" numFmtId="164" xfId="0" applyBorder="1" applyFont="1" applyNumberFormat="1"/>
    <xf borderId="1" fillId="5" fontId="6" numFmtId="164" xfId="0" applyBorder="1" applyFont="1" applyNumberFormat="1"/>
    <xf borderId="1" fillId="3" fontId="6" numFmtId="164" xfId="0" applyBorder="1" applyFont="1" applyNumberFormat="1"/>
    <xf borderId="0" fillId="0" fontId="12" numFmtId="0" xfId="0" applyFont="1"/>
    <xf borderId="1" fillId="2" fontId="5" numFmtId="0" xfId="0" applyAlignment="1" applyBorder="1" applyFont="1">
      <alignment horizontal="center"/>
    </xf>
    <xf borderId="9" fillId="3" fontId="1" numFmtId="0" xfId="0" applyAlignment="1" applyBorder="1" applyFont="1">
      <alignment horizontal="center" vertical="center"/>
    </xf>
    <xf quotePrefix="1" borderId="1" fillId="4" fontId="1" numFmtId="14" xfId="0" applyBorder="1" applyFont="1" applyNumberFormat="1"/>
    <xf borderId="10" fillId="0" fontId="7" numFmtId="0" xfId="0" applyBorder="1" applyFont="1"/>
    <xf borderId="11" fillId="0" fontId="7" numFmtId="0" xfId="0" applyBorder="1" applyFont="1"/>
    <xf borderId="12" fillId="4" fontId="1" numFmtId="0" xfId="0" applyBorder="1" applyFont="1"/>
    <xf borderId="12" fillId="4" fontId="1" numFmtId="164" xfId="0" applyBorder="1" applyFont="1" applyNumberFormat="1"/>
    <xf borderId="1" fillId="4" fontId="1" numFmtId="167" xfId="0" applyBorder="1" applyFont="1" applyNumberFormat="1"/>
    <xf borderId="1" fillId="4" fontId="1" numFmtId="164" xfId="0" applyAlignment="1" applyBorder="1" applyFont="1" applyNumberFormat="1">
      <alignment shrinkToFit="0" wrapText="1"/>
    </xf>
    <xf borderId="12" fillId="4" fontId="6" numFmtId="0" xfId="0" applyBorder="1" applyFont="1"/>
    <xf borderId="12" fillId="4" fontId="6" numFmtId="164" xfId="0" applyBorder="1" applyFont="1" applyNumberFormat="1"/>
    <xf borderId="0" fillId="0" fontId="13" numFmtId="0" xfId="0" applyFont="1"/>
    <xf borderId="0" fillId="0" fontId="14" numFmtId="0" xfId="0" applyFont="1"/>
    <xf borderId="0" fillId="0" fontId="15" numFmtId="0" xfId="0" applyFont="1"/>
    <xf borderId="1" fillId="2" fontId="16" numFmtId="0" xfId="0" applyAlignment="1" applyBorder="1" applyFont="1">
      <alignment horizontal="left" shrinkToFit="0" wrapText="1"/>
    </xf>
    <xf borderId="1" fillId="2" fontId="16" numFmtId="0" xfId="0" applyAlignment="1" applyBorder="1" applyFont="1">
      <alignment horizontal="center" shrinkToFit="0" wrapText="1"/>
    </xf>
    <xf borderId="0" fillId="0" fontId="13" numFmtId="164" xfId="0" applyFont="1" applyNumberFormat="1"/>
    <xf borderId="1" fillId="3" fontId="17" numFmtId="0" xfId="0" applyBorder="1" applyFont="1"/>
    <xf borderId="1" fillId="3" fontId="17" numFmtId="164" xfId="0" applyBorder="1" applyFont="1" applyNumberFormat="1"/>
    <xf borderId="0" fillId="0" fontId="17" numFmtId="0" xfId="0" applyAlignment="1" applyFont="1">
      <alignment horizontal="left" shrinkToFit="0" wrapText="1"/>
    </xf>
    <xf borderId="0" fillId="0" fontId="17" numFmtId="0" xfId="0" applyAlignment="1" applyFont="1">
      <alignment horizontal="center" shrinkToFit="0" wrapText="1"/>
    </xf>
    <xf borderId="1" fillId="6" fontId="16" numFmtId="0" xfId="0" applyAlignment="1" applyBorder="1" applyFill="1" applyFont="1">
      <alignment horizontal="left" shrinkToFit="0" wrapText="1"/>
    </xf>
    <xf borderId="1" fillId="6" fontId="16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left" shrinkToFit="0" wrapText="1"/>
    </xf>
    <xf borderId="0" fillId="0" fontId="13" numFmtId="164" xfId="0" applyAlignment="1" applyFont="1" applyNumberFormat="1">
      <alignment horizontal="center" shrinkToFit="0" wrapText="1"/>
    </xf>
    <xf borderId="1" fillId="3" fontId="17" numFmtId="164" xfId="0" applyAlignment="1" applyBorder="1" applyFont="1" applyNumberFormat="1">
      <alignment horizontal="center" shrinkToFit="0" wrapText="1"/>
    </xf>
    <xf borderId="0" fillId="0" fontId="13" numFmtId="167" xfId="0" applyFont="1" applyNumberFormat="1"/>
    <xf borderId="0" fillId="0" fontId="18" numFmtId="0" xfId="0" applyFont="1"/>
    <xf borderId="1" fillId="2" fontId="19" numFmtId="0" xfId="0" applyBorder="1" applyFont="1"/>
    <xf borderId="1" fillId="2" fontId="19" numFmtId="164" xfId="0" applyBorder="1" applyFont="1" applyNumberFormat="1"/>
    <xf borderId="1" fillId="7" fontId="17" numFmtId="0" xfId="0" applyAlignment="1" applyBorder="1" applyFill="1" applyFont="1">
      <alignment horizontal="left" shrinkToFit="0" wrapText="1"/>
    </xf>
    <xf borderId="1" fillId="7" fontId="17" numFmtId="0" xfId="0" applyAlignment="1" applyBorder="1" applyFont="1">
      <alignment horizontal="center" shrinkToFit="0" wrapText="1"/>
    </xf>
    <xf borderId="1" fillId="8" fontId="17" numFmtId="0" xfId="0" applyBorder="1" applyFill="1" applyFont="1"/>
    <xf borderId="1" fillId="8" fontId="17" numFmtId="164" xfId="0" applyBorder="1" applyFont="1" applyNumberFormat="1"/>
    <xf borderId="0" fillId="0" fontId="20" numFmtId="0" xfId="0" applyFont="1"/>
    <xf borderId="0" fillId="0" fontId="20" numFmtId="164" xfId="0" applyFont="1" applyNumberFormat="1"/>
    <xf borderId="0" fillId="0" fontId="21" numFmtId="0" xfId="0" applyFont="1"/>
    <xf borderId="0" fillId="0" fontId="21" numFmtId="164" xfId="0" applyFont="1" applyNumberFormat="1"/>
    <xf borderId="0" fillId="0" fontId="20" numFmtId="0" xfId="0" applyAlignment="1" applyFont="1">
      <alignment horizontal="left"/>
    </xf>
    <xf borderId="1" fillId="9" fontId="20" numFmtId="164" xfId="0" applyBorder="1" applyFill="1" applyFont="1" applyNumberFormat="1"/>
    <xf borderId="0" fillId="0" fontId="22" numFmtId="0" xfId="0" applyAlignment="1" applyFont="1">
      <alignment horizontal="left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../postlets.com/resources/finding-the-perfect-tenant" TargetMode="External"/><Relationship Id="rId10" Type="http://schemas.openxmlformats.org/officeDocument/2006/relationships/hyperlink" Target="http://../postlets.com/resources/finding-the-perfect-tenant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../postlets.com/resources/finding-the-perfect-tenant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../postlets.com/resources/finding-the-perfect-tenant" TargetMode="External"/><Relationship Id="rId3" Type="http://schemas.openxmlformats.org/officeDocument/2006/relationships/hyperlink" Target="http://../postlets.com/resources/finding-the-perfect-tenant" TargetMode="External"/><Relationship Id="rId4" Type="http://schemas.openxmlformats.org/officeDocument/2006/relationships/hyperlink" Target="http://../postlets.com/resources/finding-the-perfect-tenant" TargetMode="External"/><Relationship Id="rId9" Type="http://schemas.openxmlformats.org/officeDocument/2006/relationships/hyperlink" Target="http://../postlets.com/resources/finding-the-perfect-tenant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://../postlets.com/resources/finding-the-perfect-tenant" TargetMode="External"/><Relationship Id="rId6" Type="http://schemas.openxmlformats.org/officeDocument/2006/relationships/hyperlink" Target="http://../postlets.com/resources/finding-the-perfect-tenant" TargetMode="External"/><Relationship Id="rId7" Type="http://schemas.openxmlformats.org/officeDocument/2006/relationships/hyperlink" Target="http://../postlets.com/resources/finding-the-perfect-tenant" TargetMode="External"/><Relationship Id="rId8" Type="http://schemas.openxmlformats.org/officeDocument/2006/relationships/hyperlink" Target="http://../postlets.com/resources/finding-the-perfect-tenan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20.0"/>
    <col customWidth="1" min="3" max="3" width="11.0"/>
    <col customWidth="1" min="4" max="5" width="11.44"/>
    <col customWidth="1" min="6" max="6" width="11.0"/>
    <col customWidth="1" min="7" max="7" width="12.11"/>
    <col customWidth="1" min="8" max="10" width="11.0"/>
    <col customWidth="1" min="11" max="11" width="11.33"/>
    <col customWidth="1" min="12" max="13" width="11.0"/>
    <col customWidth="1" min="14" max="14" width="15.44"/>
    <col customWidth="1" min="15" max="15" width="14.67"/>
    <col customWidth="1" min="16" max="16" width="13.44"/>
    <col customWidth="1" min="17" max="30" width="11.0"/>
    <col customWidth="1" min="31" max="36" width="13.44"/>
    <col customWidth="1" min="37" max="37" width="11.3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K1" s="2"/>
    </row>
    <row r="2" ht="15.75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K2" s="2"/>
    </row>
    <row r="3" ht="15.75" customHeight="1">
      <c r="A3" s="1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K3" s="2"/>
    </row>
    <row r="4" ht="15.75" customHeight="1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K4" s="2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K5" s="2"/>
    </row>
    <row r="6" ht="15.75" customHeight="1">
      <c r="A6" s="1"/>
      <c r="B6" s="5" t="s">
        <v>3</v>
      </c>
      <c r="C6" s="6">
        <v>2020.0</v>
      </c>
      <c r="D6" s="1"/>
      <c r="E6" s="7" t="s">
        <v>4</v>
      </c>
      <c r="F6" s="8"/>
      <c r="G6" s="9">
        <f>AI41</f>
        <v>17325.54115</v>
      </c>
      <c r="H6" s="10"/>
      <c r="I6" s="10"/>
      <c r="J6" s="7" t="s">
        <v>5</v>
      </c>
      <c r="K6" s="8"/>
      <c r="L6" s="11">
        <f>R24+P24+L24+J24+F24</f>
        <v>1125</v>
      </c>
      <c r="M6" s="12"/>
      <c r="N6" s="5" t="s">
        <v>6</v>
      </c>
      <c r="O6" s="11">
        <f>AJ41</f>
        <v>325.9988462</v>
      </c>
      <c r="P6" s="12"/>
      <c r="Q6" s="1"/>
      <c r="R6" s="1"/>
      <c r="S6" s="1"/>
      <c r="T6" s="1"/>
      <c r="U6" s="1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K6" s="2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2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7" t="s">
        <v>7</v>
      </c>
      <c r="K8" s="8"/>
      <c r="L8" s="11">
        <f>D24+H24+N24</f>
        <v>875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2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2"/>
    </row>
    <row r="10" ht="15.75" customHeight="1">
      <c r="A10" s="1"/>
      <c r="B10" s="14" t="s">
        <v>8</v>
      </c>
      <c r="C10" s="15" t="s">
        <v>9</v>
      </c>
      <c r="D10" s="16"/>
      <c r="E10" s="16"/>
      <c r="F10" s="17"/>
      <c r="G10" s="15" t="s">
        <v>10</v>
      </c>
      <c r="H10" s="17"/>
      <c r="I10" s="15" t="s">
        <v>11</v>
      </c>
      <c r="J10" s="16"/>
      <c r="K10" s="17"/>
      <c r="L10" s="18" t="s">
        <v>12</v>
      </c>
      <c r="M10" s="17"/>
      <c r="N10" s="19" t="s">
        <v>13</v>
      </c>
      <c r="O10" s="19" t="s">
        <v>14</v>
      </c>
      <c r="P10" s="19" t="s">
        <v>15</v>
      </c>
      <c r="Q10" s="20"/>
      <c r="R10" s="20"/>
      <c r="S10" s="20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2"/>
    </row>
    <row r="11" ht="15.75" customHeight="1">
      <c r="A11" s="1"/>
      <c r="B11" s="21" t="s">
        <v>16</v>
      </c>
      <c r="C11" s="22" t="s">
        <v>17</v>
      </c>
      <c r="D11" s="16"/>
      <c r="E11" s="16"/>
      <c r="F11" s="17"/>
      <c r="G11" s="22" t="s">
        <v>18</v>
      </c>
      <c r="H11" s="17"/>
      <c r="I11" s="22" t="s">
        <v>19</v>
      </c>
      <c r="J11" s="16"/>
      <c r="K11" s="17"/>
      <c r="L11" s="22">
        <v>7.72665333E8</v>
      </c>
      <c r="M11" s="17"/>
      <c r="N11" s="23"/>
      <c r="O11" s="24">
        <v>42948.0</v>
      </c>
      <c r="P11" s="24">
        <v>44378.0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2"/>
    </row>
    <row r="12" ht="15.75" customHeight="1">
      <c r="A12" s="1"/>
      <c r="B12" s="21" t="s">
        <v>20</v>
      </c>
      <c r="C12" s="22" t="s">
        <v>17</v>
      </c>
      <c r="D12" s="16"/>
      <c r="E12" s="16"/>
      <c r="F12" s="17"/>
      <c r="G12" s="22" t="s">
        <v>21</v>
      </c>
      <c r="H12" s="17"/>
      <c r="I12" s="22" t="s">
        <v>22</v>
      </c>
      <c r="J12" s="16"/>
      <c r="K12" s="17"/>
      <c r="L12" s="22">
        <v>7.73626922E8</v>
      </c>
      <c r="M12" s="17"/>
      <c r="N12" s="23"/>
      <c r="O12" s="24">
        <v>44075.0</v>
      </c>
      <c r="P12" s="24">
        <v>44409.0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2"/>
    </row>
    <row r="13" ht="15.75" customHeight="1">
      <c r="A13" s="1"/>
      <c r="B13" s="21" t="s">
        <v>23</v>
      </c>
      <c r="C13" s="22" t="s">
        <v>17</v>
      </c>
      <c r="D13" s="16"/>
      <c r="E13" s="16"/>
      <c r="F13" s="17"/>
      <c r="G13" s="22" t="s">
        <v>24</v>
      </c>
      <c r="H13" s="17"/>
      <c r="I13" s="22" t="s">
        <v>25</v>
      </c>
      <c r="J13" s="16"/>
      <c r="K13" s="17"/>
      <c r="L13" s="22">
        <v>7.73486504E8</v>
      </c>
      <c r="M13" s="17"/>
      <c r="N13" s="23"/>
      <c r="O13" s="24">
        <v>43647.0</v>
      </c>
      <c r="P13" s="24">
        <v>44348.0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"/>
    </row>
    <row r="14" ht="15.75" customHeight="1">
      <c r="A14" s="1"/>
      <c r="B14" s="21" t="s">
        <v>26</v>
      </c>
      <c r="C14" s="22" t="s">
        <v>17</v>
      </c>
      <c r="D14" s="16"/>
      <c r="E14" s="16"/>
      <c r="F14" s="17"/>
      <c r="G14" s="22" t="s">
        <v>27</v>
      </c>
      <c r="H14" s="17"/>
      <c r="I14" s="22" t="s">
        <v>28</v>
      </c>
      <c r="J14" s="16"/>
      <c r="K14" s="17"/>
      <c r="L14" s="22">
        <v>7.74828474E8</v>
      </c>
      <c r="M14" s="17"/>
      <c r="N14" s="23"/>
      <c r="O14" s="24">
        <v>44105.0</v>
      </c>
      <c r="P14" s="24">
        <v>44440.0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"/>
    </row>
    <row r="15" ht="15.75" customHeight="1">
      <c r="A15" s="1"/>
      <c r="B15" s="21" t="s">
        <v>29</v>
      </c>
      <c r="C15" s="22" t="s">
        <v>17</v>
      </c>
      <c r="D15" s="16"/>
      <c r="E15" s="16"/>
      <c r="F15" s="17"/>
      <c r="G15" s="22" t="s">
        <v>30</v>
      </c>
      <c r="H15" s="17"/>
      <c r="I15" s="22" t="s">
        <v>31</v>
      </c>
      <c r="J15" s="16"/>
      <c r="K15" s="17"/>
      <c r="L15" s="22">
        <v>7.72795939E8</v>
      </c>
      <c r="M15" s="17"/>
      <c r="N15" s="23"/>
      <c r="O15" s="24">
        <v>44044.0</v>
      </c>
      <c r="P15" s="24">
        <v>44378.0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2"/>
    </row>
    <row r="16" ht="15.75" customHeight="1">
      <c r="A16" s="1"/>
      <c r="B16" s="21" t="s">
        <v>32</v>
      </c>
      <c r="C16" s="22" t="s">
        <v>17</v>
      </c>
      <c r="D16" s="16"/>
      <c r="E16" s="16"/>
      <c r="F16" s="17"/>
      <c r="G16" s="22" t="s">
        <v>33</v>
      </c>
      <c r="H16" s="17"/>
      <c r="I16" s="22" t="s">
        <v>34</v>
      </c>
      <c r="J16" s="16"/>
      <c r="K16" s="17"/>
      <c r="L16" s="22">
        <v>7.75393827E8</v>
      </c>
      <c r="M16" s="17"/>
      <c r="N16" s="23"/>
      <c r="O16" s="24">
        <v>43678.0</v>
      </c>
      <c r="P16" s="24">
        <v>44378.0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2"/>
    </row>
    <row r="17" ht="15.75" customHeight="1">
      <c r="A17" s="1"/>
      <c r="B17" s="21" t="s">
        <v>35</v>
      </c>
      <c r="C17" s="22" t="s">
        <v>17</v>
      </c>
      <c r="D17" s="16"/>
      <c r="E17" s="16"/>
      <c r="F17" s="17"/>
      <c r="G17" s="22" t="s">
        <v>36</v>
      </c>
      <c r="H17" s="17"/>
      <c r="I17" s="22" t="s">
        <v>37</v>
      </c>
      <c r="J17" s="16"/>
      <c r="K17" s="17"/>
      <c r="L17" s="22">
        <v>7.7338809E8</v>
      </c>
      <c r="M17" s="17"/>
      <c r="N17" s="23"/>
      <c r="O17" s="24">
        <v>44044.0</v>
      </c>
      <c r="P17" s="24">
        <v>44378.0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2"/>
    </row>
    <row r="18" ht="15.75" customHeight="1">
      <c r="A18" s="1"/>
      <c r="B18" s="21" t="s">
        <v>38</v>
      </c>
      <c r="C18" s="22" t="s">
        <v>17</v>
      </c>
      <c r="D18" s="16"/>
      <c r="E18" s="16"/>
      <c r="F18" s="17"/>
      <c r="G18" s="22" t="s">
        <v>39</v>
      </c>
      <c r="H18" s="17"/>
      <c r="I18" s="22" t="s">
        <v>40</v>
      </c>
      <c r="J18" s="16"/>
      <c r="K18" s="17"/>
      <c r="L18" s="22">
        <v>7.36462688E8</v>
      </c>
      <c r="M18" s="17"/>
      <c r="N18" s="23"/>
      <c r="O18" s="24">
        <v>43831.0</v>
      </c>
      <c r="P18" s="24">
        <v>44166.0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2"/>
    </row>
    <row r="19" ht="15.75" customHeight="1">
      <c r="A19" s="1"/>
      <c r="B19" s="20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2"/>
    </row>
    <row r="20" ht="15.75" customHeight="1">
      <c r="A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2"/>
    </row>
    <row r="21" ht="15.75" customHeight="1">
      <c r="A21" s="6"/>
      <c r="B21" s="19" t="s">
        <v>41</v>
      </c>
      <c r="C21" s="15" t="s">
        <v>16</v>
      </c>
      <c r="D21" s="17"/>
      <c r="E21" s="15" t="s">
        <v>20</v>
      </c>
      <c r="F21" s="17"/>
      <c r="G21" s="15" t="s">
        <v>23</v>
      </c>
      <c r="H21" s="17"/>
      <c r="I21" s="15" t="s">
        <v>26</v>
      </c>
      <c r="J21" s="17"/>
      <c r="K21" s="15" t="s">
        <v>29</v>
      </c>
      <c r="L21" s="17"/>
      <c r="M21" s="15" t="s">
        <v>32</v>
      </c>
      <c r="N21" s="17"/>
      <c r="O21" s="15" t="s">
        <v>35</v>
      </c>
      <c r="P21" s="17"/>
      <c r="Q21" s="18" t="s">
        <v>38</v>
      </c>
      <c r="R21" s="17"/>
      <c r="S21" s="19" t="s">
        <v>42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2"/>
    </row>
    <row r="22" ht="15.75" customHeight="1">
      <c r="A22" s="1"/>
      <c r="B22" s="25"/>
      <c r="C22" s="26" t="s">
        <v>43</v>
      </c>
      <c r="D22" s="26" t="s">
        <v>44</v>
      </c>
      <c r="E22" s="26" t="s">
        <v>43</v>
      </c>
      <c r="F22" s="26" t="s">
        <v>44</v>
      </c>
      <c r="G22" s="26" t="s">
        <v>43</v>
      </c>
      <c r="H22" s="26" t="s">
        <v>44</v>
      </c>
      <c r="I22" s="26" t="s">
        <v>43</v>
      </c>
      <c r="J22" s="26" t="s">
        <v>44</v>
      </c>
      <c r="K22" s="26" t="s">
        <v>43</v>
      </c>
      <c r="L22" s="26" t="s">
        <v>44</v>
      </c>
      <c r="M22" s="26" t="s">
        <v>43</v>
      </c>
      <c r="N22" s="26" t="s">
        <v>44</v>
      </c>
      <c r="O22" s="26" t="s">
        <v>43</v>
      </c>
      <c r="P22" s="26" t="s">
        <v>44</v>
      </c>
      <c r="Q22" s="26" t="s">
        <v>43</v>
      </c>
      <c r="R22" s="26" t="s">
        <v>44</v>
      </c>
      <c r="S22" s="26" t="s">
        <v>44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2"/>
    </row>
    <row r="23" ht="15.75" customHeight="1">
      <c r="A23" s="12"/>
      <c r="B23" s="27"/>
      <c r="C23" s="28">
        <v>42948.0</v>
      </c>
      <c r="D23" s="29">
        <v>400.0</v>
      </c>
      <c r="E23" s="30">
        <v>44075.0</v>
      </c>
      <c r="F23" s="29">
        <v>250.0</v>
      </c>
      <c r="G23" s="30">
        <v>43647.0</v>
      </c>
      <c r="H23" s="29">
        <v>250.0</v>
      </c>
      <c r="I23" s="30">
        <v>44105.0</v>
      </c>
      <c r="J23" s="29">
        <v>250.0</v>
      </c>
      <c r="K23" s="30">
        <v>44044.0</v>
      </c>
      <c r="L23" s="29">
        <v>225.0</v>
      </c>
      <c r="M23" s="30">
        <v>43678.0</v>
      </c>
      <c r="N23" s="29">
        <v>225.0</v>
      </c>
      <c r="O23" s="30">
        <v>44044.0</v>
      </c>
      <c r="P23" s="29">
        <v>200.0</v>
      </c>
      <c r="Q23" s="30">
        <v>43831.0</v>
      </c>
      <c r="R23" s="29">
        <v>200.0</v>
      </c>
      <c r="S23" s="31">
        <f t="shared" ref="S23:S24" si="1">D23+F23+H23+J23+L23+N23+P23+R23</f>
        <v>2000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32"/>
    </row>
    <row r="24" ht="15.75" customHeight="1">
      <c r="A24" s="6"/>
      <c r="B24" s="33" t="s">
        <v>42</v>
      </c>
      <c r="C24" s="28"/>
      <c r="D24" s="31">
        <f>D23</f>
        <v>400</v>
      </c>
      <c r="E24" s="34"/>
      <c r="F24" s="31">
        <f>F23</f>
        <v>250</v>
      </c>
      <c r="G24" s="34"/>
      <c r="H24" s="31">
        <f>H23</f>
        <v>250</v>
      </c>
      <c r="I24" s="34"/>
      <c r="J24" s="31">
        <f>J23</f>
        <v>250</v>
      </c>
      <c r="K24" s="34"/>
      <c r="L24" s="31">
        <f>L23</f>
        <v>225</v>
      </c>
      <c r="M24" s="28"/>
      <c r="N24" s="31">
        <f>N23</f>
        <v>225</v>
      </c>
      <c r="O24" s="28"/>
      <c r="P24" s="31">
        <f>P23</f>
        <v>200</v>
      </c>
      <c r="Q24" s="28"/>
      <c r="R24" s="31">
        <f>R23</f>
        <v>200</v>
      </c>
      <c r="S24" s="31">
        <f t="shared" si="1"/>
        <v>2000</v>
      </c>
      <c r="T24" s="6"/>
      <c r="U24" s="11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2"/>
    </row>
    <row r="25" ht="15.75" customHeight="1">
      <c r="A25" s="1"/>
      <c r="B25" s="3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2"/>
    </row>
    <row r="26" ht="15.75" customHeight="1">
      <c r="A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</row>
    <row r="27" ht="15.75" customHeight="1">
      <c r="A27" s="6"/>
      <c r="B27" s="5" t="s">
        <v>45</v>
      </c>
      <c r="C27" s="7" t="s">
        <v>16</v>
      </c>
      <c r="D27" s="36"/>
      <c r="E27" s="36"/>
      <c r="F27" s="8"/>
      <c r="G27" s="7" t="s">
        <v>20</v>
      </c>
      <c r="H27" s="36"/>
      <c r="I27" s="36"/>
      <c r="J27" s="8"/>
      <c r="K27" s="7" t="s">
        <v>23</v>
      </c>
      <c r="L27" s="36"/>
      <c r="M27" s="36"/>
      <c r="N27" s="8"/>
      <c r="O27" s="7" t="s">
        <v>26</v>
      </c>
      <c r="P27" s="36"/>
      <c r="Q27" s="36"/>
      <c r="R27" s="8"/>
      <c r="S27" s="7" t="s">
        <v>29</v>
      </c>
      <c r="T27" s="36"/>
      <c r="U27" s="36"/>
      <c r="V27" s="8"/>
      <c r="W27" s="7" t="s">
        <v>32</v>
      </c>
      <c r="X27" s="36"/>
      <c r="Y27" s="36"/>
      <c r="Z27" s="8"/>
      <c r="AA27" s="7" t="s">
        <v>35</v>
      </c>
      <c r="AB27" s="36"/>
      <c r="AC27" s="36"/>
      <c r="AD27" s="8"/>
      <c r="AE27" s="7" t="s">
        <v>38</v>
      </c>
      <c r="AF27" s="36"/>
      <c r="AG27" s="36"/>
      <c r="AH27" s="8"/>
      <c r="AI27" s="7" t="s">
        <v>42</v>
      </c>
      <c r="AJ27" s="8"/>
      <c r="AK27" s="37"/>
    </row>
    <row r="28" ht="15.75" customHeight="1">
      <c r="A28" s="1"/>
      <c r="B28" s="38"/>
      <c r="C28" s="39" t="s">
        <v>43</v>
      </c>
      <c r="D28" s="39" t="s">
        <v>46</v>
      </c>
      <c r="E28" s="39" t="s">
        <v>47</v>
      </c>
      <c r="F28" s="39" t="s">
        <v>48</v>
      </c>
      <c r="G28" s="40" t="s">
        <v>43</v>
      </c>
      <c r="H28" s="40" t="s">
        <v>46</v>
      </c>
      <c r="I28" s="40" t="s">
        <v>47</v>
      </c>
      <c r="J28" s="40" t="s">
        <v>48</v>
      </c>
      <c r="K28" s="39" t="s">
        <v>43</v>
      </c>
      <c r="L28" s="39" t="s">
        <v>46</v>
      </c>
      <c r="M28" s="39" t="s">
        <v>47</v>
      </c>
      <c r="N28" s="39" t="s">
        <v>48</v>
      </c>
      <c r="O28" s="40" t="s">
        <v>43</v>
      </c>
      <c r="P28" s="40" t="s">
        <v>46</v>
      </c>
      <c r="Q28" s="40" t="s">
        <v>47</v>
      </c>
      <c r="R28" s="40" t="s">
        <v>48</v>
      </c>
      <c r="S28" s="39" t="s">
        <v>43</v>
      </c>
      <c r="T28" s="39" t="s">
        <v>46</v>
      </c>
      <c r="U28" s="39" t="s">
        <v>47</v>
      </c>
      <c r="V28" s="39" t="s">
        <v>48</v>
      </c>
      <c r="W28" s="40" t="s">
        <v>43</v>
      </c>
      <c r="X28" s="40" t="s">
        <v>46</v>
      </c>
      <c r="Y28" s="40" t="s">
        <v>47</v>
      </c>
      <c r="Z28" s="40" t="s">
        <v>48</v>
      </c>
      <c r="AA28" s="39" t="s">
        <v>43</v>
      </c>
      <c r="AB28" s="39" t="s">
        <v>46</v>
      </c>
      <c r="AC28" s="39" t="s">
        <v>47</v>
      </c>
      <c r="AD28" s="39" t="s">
        <v>48</v>
      </c>
      <c r="AE28" s="40" t="s">
        <v>43</v>
      </c>
      <c r="AF28" s="40" t="s">
        <v>46</v>
      </c>
      <c r="AG28" s="40" t="s">
        <v>47</v>
      </c>
      <c r="AH28" s="40" t="s">
        <v>48</v>
      </c>
      <c r="AI28" s="41" t="s">
        <v>49</v>
      </c>
      <c r="AJ28" s="41" t="s">
        <v>6</v>
      </c>
      <c r="AK28" s="37"/>
    </row>
    <row r="29" ht="15.75" customHeight="1">
      <c r="A29" s="1"/>
      <c r="B29" s="42" t="s">
        <v>50</v>
      </c>
      <c r="C29" s="39" t="s">
        <v>51</v>
      </c>
      <c r="D29" s="43">
        <v>102.88</v>
      </c>
      <c r="E29" s="43">
        <v>102.88</v>
      </c>
      <c r="F29" s="43">
        <f t="shared" ref="F29:F40" si="4">D29-E29</f>
        <v>0</v>
      </c>
      <c r="G29" s="40" t="s">
        <v>51</v>
      </c>
      <c r="H29" s="44">
        <v>79.62</v>
      </c>
      <c r="I29" s="44">
        <v>79.62</v>
      </c>
      <c r="J29" s="44">
        <f t="shared" ref="J29:J40" si="5">H29-I29</f>
        <v>0</v>
      </c>
      <c r="K29" s="39" t="s">
        <v>51</v>
      </c>
      <c r="L29" s="43">
        <v>96.15</v>
      </c>
      <c r="M29" s="43">
        <v>96.15</v>
      </c>
      <c r="N29" s="43">
        <f t="shared" ref="N29:N40" si="6">L29-M29</f>
        <v>0</v>
      </c>
      <c r="O29" s="40" t="s">
        <v>51</v>
      </c>
      <c r="P29" s="44">
        <v>101.92</v>
      </c>
      <c r="Q29" s="44">
        <v>101.92</v>
      </c>
      <c r="R29" s="44">
        <f t="shared" ref="R29:R40" si="7">P29-Q29</f>
        <v>0</v>
      </c>
      <c r="S29" s="39" t="s">
        <v>51</v>
      </c>
      <c r="T29" s="43">
        <v>100.96</v>
      </c>
      <c r="U29" s="43">
        <v>100.96</v>
      </c>
      <c r="V29" s="43">
        <f t="shared" ref="V29:V40" si="8">T29-U29</f>
        <v>0</v>
      </c>
      <c r="W29" s="40" t="s">
        <v>51</v>
      </c>
      <c r="X29" s="44">
        <f t="shared" ref="X29:Y29" si="2">2500/10</f>
        <v>250</v>
      </c>
      <c r="Y29" s="44">
        <f t="shared" si="2"/>
        <v>250</v>
      </c>
      <c r="Z29" s="44">
        <f t="shared" ref="Z29:Z40" si="9">X29-Y29</f>
        <v>0</v>
      </c>
      <c r="AA29" s="39" t="s">
        <v>51</v>
      </c>
      <c r="AB29" s="45"/>
      <c r="AC29" s="43"/>
      <c r="AD29" s="43">
        <f t="shared" ref="AD29:AD40" si="10">AB29-AC29</f>
        <v>0</v>
      </c>
      <c r="AE29" s="40" t="s">
        <v>51</v>
      </c>
      <c r="AF29" s="46">
        <v>200.0</v>
      </c>
      <c r="AG29" s="44">
        <v>200.0</v>
      </c>
      <c r="AH29" s="44">
        <f t="shared" ref="AH29:AH40" si="11">AF29-AG29</f>
        <v>0</v>
      </c>
      <c r="AI29" s="47">
        <f t="shared" ref="AI29:AJ29" si="3">E29+I29+M29+Q29+U29+Y29+AC29+AG29</f>
        <v>931.53</v>
      </c>
      <c r="AJ29" s="47">
        <f t="shared" si="3"/>
        <v>0</v>
      </c>
      <c r="AK29" s="37"/>
    </row>
    <row r="30" ht="15.75" customHeight="1">
      <c r="A30" s="1"/>
      <c r="B30" s="42" t="s">
        <v>52</v>
      </c>
      <c r="C30" s="39" t="s">
        <v>53</v>
      </c>
      <c r="D30" s="43">
        <v>163.46</v>
      </c>
      <c r="E30" s="43">
        <v>163.46</v>
      </c>
      <c r="F30" s="43">
        <f t="shared" si="4"/>
        <v>0</v>
      </c>
      <c r="G30" s="40" t="s">
        <v>53</v>
      </c>
      <c r="H30" s="44">
        <v>134.62</v>
      </c>
      <c r="I30" s="44">
        <v>134.62</v>
      </c>
      <c r="J30" s="44">
        <f t="shared" si="5"/>
        <v>0</v>
      </c>
      <c r="K30" s="39" t="s">
        <v>53</v>
      </c>
      <c r="L30" s="43">
        <v>134.62</v>
      </c>
      <c r="M30" s="43">
        <v>134.62</v>
      </c>
      <c r="N30" s="43">
        <f t="shared" si="6"/>
        <v>0</v>
      </c>
      <c r="O30" s="40" t="s">
        <v>53</v>
      </c>
      <c r="P30" s="44">
        <v>163.46</v>
      </c>
      <c r="Q30" s="44">
        <v>163.46</v>
      </c>
      <c r="R30" s="44">
        <f t="shared" si="7"/>
        <v>0</v>
      </c>
      <c r="S30" s="39" t="s">
        <v>53</v>
      </c>
      <c r="T30" s="43">
        <v>163.46</v>
      </c>
      <c r="U30" s="43">
        <v>163.46</v>
      </c>
      <c r="V30" s="43">
        <f t="shared" si="8"/>
        <v>0</v>
      </c>
      <c r="W30" s="40" t="s">
        <v>53</v>
      </c>
      <c r="X30" s="44">
        <v>147.12</v>
      </c>
      <c r="Y30" s="44">
        <v>147.12</v>
      </c>
      <c r="Z30" s="44">
        <f t="shared" si="9"/>
        <v>0</v>
      </c>
      <c r="AA30" s="39" t="s">
        <v>53</v>
      </c>
      <c r="AB30" s="45"/>
      <c r="AC30" s="43"/>
      <c r="AD30" s="43">
        <f t="shared" si="10"/>
        <v>0</v>
      </c>
      <c r="AE30" s="40" t="s">
        <v>53</v>
      </c>
      <c r="AF30" s="46">
        <v>200.0</v>
      </c>
      <c r="AG30" s="44">
        <v>200.0</v>
      </c>
      <c r="AH30" s="44">
        <f t="shared" si="11"/>
        <v>0</v>
      </c>
      <c r="AI30" s="47">
        <f t="shared" ref="AI30:AJ30" si="12">E30+I30+M30+Q30+U30+Y30+AC30+AG30</f>
        <v>1106.74</v>
      </c>
      <c r="AJ30" s="47">
        <f t="shared" si="12"/>
        <v>0</v>
      </c>
      <c r="AK30" s="37"/>
    </row>
    <row r="31" ht="15.75" customHeight="1">
      <c r="A31" s="1"/>
      <c r="B31" s="42" t="s">
        <v>54</v>
      </c>
      <c r="C31" s="39" t="s">
        <v>55</v>
      </c>
      <c r="D31" s="43">
        <v>171.63</v>
      </c>
      <c r="E31" s="43">
        <v>171.63</v>
      </c>
      <c r="F31" s="43">
        <f t="shared" si="4"/>
        <v>0</v>
      </c>
      <c r="G31" s="40" t="s">
        <v>55</v>
      </c>
      <c r="H31" s="44">
        <v>137.31</v>
      </c>
      <c r="I31" s="44">
        <v>137.31</v>
      </c>
      <c r="J31" s="44">
        <f t="shared" si="5"/>
        <v>0</v>
      </c>
      <c r="K31" s="39" t="s">
        <v>55</v>
      </c>
      <c r="L31" s="43">
        <v>130.77</v>
      </c>
      <c r="M31" s="43">
        <v>130.77</v>
      </c>
      <c r="N31" s="43">
        <f t="shared" si="6"/>
        <v>0</v>
      </c>
      <c r="O31" s="40" t="s">
        <v>55</v>
      </c>
      <c r="P31" s="44">
        <v>171.63</v>
      </c>
      <c r="Q31" s="44">
        <v>171.63</v>
      </c>
      <c r="R31" s="44">
        <f t="shared" si="7"/>
        <v>0</v>
      </c>
      <c r="S31" s="39" t="s">
        <v>55</v>
      </c>
      <c r="T31" s="43">
        <v>171.46</v>
      </c>
      <c r="U31" s="43">
        <v>171.46</v>
      </c>
      <c r="V31" s="43">
        <f t="shared" si="8"/>
        <v>0</v>
      </c>
      <c r="W31" s="40" t="s">
        <v>55</v>
      </c>
      <c r="X31" s="44">
        <v>155.47</v>
      </c>
      <c r="Y31" s="44">
        <f>4016.25/26</f>
        <v>154.4711538</v>
      </c>
      <c r="Z31" s="44">
        <f t="shared" si="9"/>
        <v>0.9988461538</v>
      </c>
      <c r="AA31" s="39" t="s">
        <v>55</v>
      </c>
      <c r="AB31" s="45"/>
      <c r="AC31" s="43"/>
      <c r="AD31" s="43">
        <f t="shared" si="10"/>
        <v>0</v>
      </c>
      <c r="AE31" s="40" t="s">
        <v>55</v>
      </c>
      <c r="AF31" s="46">
        <v>200.0</v>
      </c>
      <c r="AG31" s="44">
        <v>200.0</v>
      </c>
      <c r="AH31" s="44">
        <f t="shared" si="11"/>
        <v>0</v>
      </c>
      <c r="AI31" s="47">
        <f t="shared" ref="AI31:AJ31" si="13">E31+I31+M31+Q31+U31+Y31+AC31+AG31</f>
        <v>1137.271154</v>
      </c>
      <c r="AJ31" s="47">
        <f t="shared" si="13"/>
        <v>0.9988461538</v>
      </c>
      <c r="AK31" s="37"/>
    </row>
    <row r="32" ht="15.75" customHeight="1">
      <c r="A32" s="1"/>
      <c r="B32" s="42" t="s">
        <v>56</v>
      </c>
      <c r="C32" s="39" t="s">
        <v>57</v>
      </c>
      <c r="D32" s="43">
        <v>250.0</v>
      </c>
      <c r="E32" s="43">
        <v>250.0</v>
      </c>
      <c r="F32" s="43">
        <f t="shared" si="4"/>
        <v>0</v>
      </c>
      <c r="G32" s="40" t="s">
        <v>57</v>
      </c>
      <c r="H32" s="44">
        <v>200.0</v>
      </c>
      <c r="I32" s="44">
        <v>200.0</v>
      </c>
      <c r="J32" s="44">
        <f t="shared" si="5"/>
        <v>0</v>
      </c>
      <c r="K32" s="39" t="s">
        <v>57</v>
      </c>
      <c r="L32" s="43">
        <v>200.0</v>
      </c>
      <c r="M32" s="43">
        <v>200.0</v>
      </c>
      <c r="N32" s="43">
        <f t="shared" si="6"/>
        <v>0</v>
      </c>
      <c r="O32" s="40" t="s">
        <v>57</v>
      </c>
      <c r="P32" s="44">
        <v>250.0</v>
      </c>
      <c r="Q32" s="44">
        <v>200.0</v>
      </c>
      <c r="R32" s="44">
        <f t="shared" si="7"/>
        <v>50</v>
      </c>
      <c r="S32" s="39" t="s">
        <v>57</v>
      </c>
      <c r="T32" s="43">
        <v>250.0</v>
      </c>
      <c r="U32" s="43">
        <v>170.0</v>
      </c>
      <c r="V32" s="43">
        <f t="shared" si="8"/>
        <v>80</v>
      </c>
      <c r="W32" s="40" t="s">
        <v>57</v>
      </c>
      <c r="X32" s="44">
        <v>225.0</v>
      </c>
      <c r="Y32" s="44">
        <v>225.0</v>
      </c>
      <c r="Z32" s="44">
        <f t="shared" si="9"/>
        <v>0</v>
      </c>
      <c r="AA32" s="39" t="s">
        <v>57</v>
      </c>
      <c r="AB32" s="45"/>
      <c r="AC32" s="43"/>
      <c r="AD32" s="43">
        <f t="shared" si="10"/>
        <v>0</v>
      </c>
      <c r="AE32" s="40" t="s">
        <v>57</v>
      </c>
      <c r="AF32" s="46">
        <v>200.0</v>
      </c>
      <c r="AG32" s="44">
        <v>200.0</v>
      </c>
      <c r="AH32" s="44">
        <f t="shared" si="11"/>
        <v>0</v>
      </c>
      <c r="AI32" s="47">
        <f t="shared" ref="AI32:AJ32" si="14">E32+I32+M32+Q32+U32+Y32+AC32+AG32</f>
        <v>1445</v>
      </c>
      <c r="AJ32" s="47">
        <f t="shared" si="14"/>
        <v>130</v>
      </c>
      <c r="AK32" s="37"/>
    </row>
    <row r="33" ht="15.75" customHeight="1">
      <c r="A33" s="1"/>
      <c r="B33" s="42" t="s">
        <v>58</v>
      </c>
      <c r="C33" s="39" t="s">
        <v>59</v>
      </c>
      <c r="D33" s="43">
        <v>250.0</v>
      </c>
      <c r="E33" s="43">
        <v>250.0</v>
      </c>
      <c r="F33" s="43">
        <f t="shared" si="4"/>
        <v>0</v>
      </c>
      <c r="G33" s="40" t="s">
        <v>59</v>
      </c>
      <c r="H33" s="44">
        <v>200.0</v>
      </c>
      <c r="I33" s="44">
        <v>200.0</v>
      </c>
      <c r="J33" s="44">
        <f t="shared" si="5"/>
        <v>0</v>
      </c>
      <c r="K33" s="39" t="s">
        <v>59</v>
      </c>
      <c r="L33" s="43">
        <v>200.0</v>
      </c>
      <c r="M33" s="43">
        <v>200.0</v>
      </c>
      <c r="N33" s="43">
        <f t="shared" si="6"/>
        <v>0</v>
      </c>
      <c r="O33" s="40" t="s">
        <v>59</v>
      </c>
      <c r="P33" s="44">
        <v>250.0</v>
      </c>
      <c r="Q33" s="44">
        <v>180.0</v>
      </c>
      <c r="R33" s="44">
        <f t="shared" si="7"/>
        <v>70</v>
      </c>
      <c r="S33" s="39" t="s">
        <v>59</v>
      </c>
      <c r="T33" s="43">
        <v>250.0</v>
      </c>
      <c r="U33" s="43">
        <v>180.0</v>
      </c>
      <c r="V33" s="43">
        <f t="shared" si="8"/>
        <v>70</v>
      </c>
      <c r="W33" s="40" t="s">
        <v>59</v>
      </c>
      <c r="X33" s="44">
        <v>225.0</v>
      </c>
      <c r="Y33" s="44">
        <v>225.0</v>
      </c>
      <c r="Z33" s="44">
        <f t="shared" si="9"/>
        <v>0</v>
      </c>
      <c r="AA33" s="39" t="s">
        <v>59</v>
      </c>
      <c r="AB33" s="45"/>
      <c r="AC33" s="43"/>
      <c r="AD33" s="43">
        <f t="shared" si="10"/>
        <v>0</v>
      </c>
      <c r="AE33" s="40" t="s">
        <v>59</v>
      </c>
      <c r="AF33" s="46">
        <v>200.0</v>
      </c>
      <c r="AG33" s="44">
        <v>200.0</v>
      </c>
      <c r="AH33" s="44">
        <f t="shared" si="11"/>
        <v>0</v>
      </c>
      <c r="AI33" s="47">
        <f t="shared" ref="AI33:AJ33" si="15">E33+I33+M33+Q33+U33+Y33+AC33+AG33</f>
        <v>1435</v>
      </c>
      <c r="AJ33" s="47">
        <f t="shared" si="15"/>
        <v>140</v>
      </c>
      <c r="AK33" s="37"/>
    </row>
    <row r="34" ht="15.75" customHeight="1">
      <c r="A34" s="1"/>
      <c r="B34" s="42" t="s">
        <v>60</v>
      </c>
      <c r="C34" s="39" t="s">
        <v>61</v>
      </c>
      <c r="D34" s="43">
        <v>250.0</v>
      </c>
      <c r="E34" s="43">
        <v>250.0</v>
      </c>
      <c r="F34" s="43">
        <f t="shared" si="4"/>
        <v>0</v>
      </c>
      <c r="G34" s="40" t="s">
        <v>61</v>
      </c>
      <c r="H34" s="44">
        <v>200.0</v>
      </c>
      <c r="I34" s="44">
        <v>200.0</v>
      </c>
      <c r="J34" s="44">
        <f t="shared" si="5"/>
        <v>0</v>
      </c>
      <c r="K34" s="39" t="s">
        <v>61</v>
      </c>
      <c r="L34" s="43">
        <v>200.0</v>
      </c>
      <c r="M34" s="43">
        <v>200.0</v>
      </c>
      <c r="N34" s="43">
        <f t="shared" si="6"/>
        <v>0</v>
      </c>
      <c r="O34" s="40" t="s">
        <v>61</v>
      </c>
      <c r="P34" s="44">
        <v>250.0</v>
      </c>
      <c r="Q34" s="44">
        <v>200.0</v>
      </c>
      <c r="R34" s="44">
        <f t="shared" si="7"/>
        <v>50</v>
      </c>
      <c r="S34" s="39" t="s">
        <v>61</v>
      </c>
      <c r="T34" s="43">
        <v>250.0</v>
      </c>
      <c r="U34" s="43">
        <v>170.0</v>
      </c>
      <c r="V34" s="43">
        <f t="shared" si="8"/>
        <v>80</v>
      </c>
      <c r="W34" s="40" t="s">
        <v>61</v>
      </c>
      <c r="X34" s="44">
        <v>225.0</v>
      </c>
      <c r="Y34" s="44">
        <v>225.0</v>
      </c>
      <c r="Z34" s="44">
        <f t="shared" si="9"/>
        <v>0</v>
      </c>
      <c r="AA34" s="39" t="s">
        <v>61</v>
      </c>
      <c r="AB34" s="45"/>
      <c r="AC34" s="43"/>
      <c r="AD34" s="43">
        <f t="shared" si="10"/>
        <v>0</v>
      </c>
      <c r="AE34" s="40" t="s">
        <v>61</v>
      </c>
      <c r="AF34" s="46">
        <v>200.0</v>
      </c>
      <c r="AG34" s="44">
        <v>200.0</v>
      </c>
      <c r="AH34" s="44">
        <f t="shared" si="11"/>
        <v>0</v>
      </c>
      <c r="AI34" s="47">
        <f t="shared" ref="AI34:AJ34" si="16">E34+I34+M34+Q34+U34+Y34+AC34+AG34</f>
        <v>1445</v>
      </c>
      <c r="AJ34" s="47">
        <f t="shared" si="16"/>
        <v>130</v>
      </c>
      <c r="AK34" s="37"/>
    </row>
    <row r="35" ht="15.75" customHeight="1">
      <c r="A35" s="1"/>
      <c r="B35" s="42" t="s">
        <v>62</v>
      </c>
      <c r="C35" s="39" t="s">
        <v>63</v>
      </c>
      <c r="D35" s="43">
        <v>250.0</v>
      </c>
      <c r="E35" s="43">
        <v>230.0</v>
      </c>
      <c r="F35" s="43">
        <f t="shared" si="4"/>
        <v>20</v>
      </c>
      <c r="G35" s="40" t="s">
        <v>63</v>
      </c>
      <c r="H35" s="44">
        <v>200.0</v>
      </c>
      <c r="I35" s="44">
        <v>200.0</v>
      </c>
      <c r="J35" s="44">
        <f t="shared" si="5"/>
        <v>0</v>
      </c>
      <c r="K35" s="39" t="s">
        <v>63</v>
      </c>
      <c r="L35" s="43">
        <v>200.0</v>
      </c>
      <c r="M35" s="43">
        <v>200.0</v>
      </c>
      <c r="N35" s="43">
        <f t="shared" si="6"/>
        <v>0</v>
      </c>
      <c r="O35" s="40" t="s">
        <v>63</v>
      </c>
      <c r="P35" s="44">
        <v>250.0</v>
      </c>
      <c r="Q35" s="44">
        <v>410.0</v>
      </c>
      <c r="R35" s="44">
        <f t="shared" si="7"/>
        <v>-160</v>
      </c>
      <c r="S35" s="39" t="s">
        <v>63</v>
      </c>
      <c r="T35" s="39"/>
      <c r="U35" s="43"/>
      <c r="V35" s="43">
        <f t="shared" si="8"/>
        <v>0</v>
      </c>
      <c r="W35" s="40" t="s">
        <v>63</v>
      </c>
      <c r="X35" s="44">
        <v>225.0</v>
      </c>
      <c r="Y35" s="44">
        <v>225.0</v>
      </c>
      <c r="Z35" s="44">
        <f t="shared" si="9"/>
        <v>0</v>
      </c>
      <c r="AA35" s="39" t="s">
        <v>63</v>
      </c>
      <c r="AB35" s="45"/>
      <c r="AC35" s="43"/>
      <c r="AD35" s="43">
        <f t="shared" si="10"/>
        <v>0</v>
      </c>
      <c r="AE35" s="40" t="s">
        <v>63</v>
      </c>
      <c r="AF35" s="46">
        <v>200.0</v>
      </c>
      <c r="AG35" s="44">
        <v>200.0</v>
      </c>
      <c r="AH35" s="44">
        <f t="shared" si="11"/>
        <v>0</v>
      </c>
      <c r="AI35" s="47">
        <f t="shared" ref="AI35:AJ35" si="17">E35+I35+M35+Q35+U35+Y35+AC35+AG35</f>
        <v>1465</v>
      </c>
      <c r="AJ35" s="47">
        <f t="shared" si="17"/>
        <v>-140</v>
      </c>
      <c r="AK35" s="37"/>
    </row>
    <row r="36" ht="15.75" customHeight="1">
      <c r="A36" s="1"/>
      <c r="B36" s="42" t="s">
        <v>64</v>
      </c>
      <c r="C36" s="39" t="s">
        <v>65</v>
      </c>
      <c r="D36" s="43">
        <v>250.0</v>
      </c>
      <c r="E36" s="43">
        <v>250.0</v>
      </c>
      <c r="F36" s="43">
        <f t="shared" si="4"/>
        <v>0</v>
      </c>
      <c r="G36" s="40" t="s">
        <v>65</v>
      </c>
      <c r="H36" s="40"/>
      <c r="I36" s="44"/>
      <c r="J36" s="44">
        <f t="shared" si="5"/>
        <v>0</v>
      </c>
      <c r="K36" s="39" t="s">
        <v>65</v>
      </c>
      <c r="L36" s="43">
        <v>200.0</v>
      </c>
      <c r="M36" s="43">
        <v>200.0</v>
      </c>
      <c r="N36" s="43">
        <f t="shared" si="6"/>
        <v>0</v>
      </c>
      <c r="O36" s="40" t="s">
        <v>65</v>
      </c>
      <c r="P36" s="44">
        <v>250.0</v>
      </c>
      <c r="Q36" s="44">
        <v>200.0</v>
      </c>
      <c r="R36" s="44">
        <f t="shared" si="7"/>
        <v>50</v>
      </c>
      <c r="S36" s="39" t="s">
        <v>65</v>
      </c>
      <c r="T36" s="43">
        <v>225.0</v>
      </c>
      <c r="U36" s="43">
        <v>225.0</v>
      </c>
      <c r="V36" s="43">
        <f t="shared" si="8"/>
        <v>0</v>
      </c>
      <c r="W36" s="40" t="s">
        <v>65</v>
      </c>
      <c r="X36" s="44">
        <v>225.0</v>
      </c>
      <c r="Y36" s="44">
        <v>225.0</v>
      </c>
      <c r="Z36" s="44">
        <f t="shared" si="9"/>
        <v>0</v>
      </c>
      <c r="AA36" s="39" t="s">
        <v>65</v>
      </c>
      <c r="AB36" s="45">
        <v>200.0</v>
      </c>
      <c r="AC36" s="43">
        <v>200.0</v>
      </c>
      <c r="AD36" s="43">
        <f t="shared" si="10"/>
        <v>0</v>
      </c>
      <c r="AE36" s="40" t="s">
        <v>65</v>
      </c>
      <c r="AF36" s="46">
        <v>200.0</v>
      </c>
      <c r="AG36" s="44">
        <v>200.0</v>
      </c>
      <c r="AH36" s="44">
        <f t="shared" si="11"/>
        <v>0</v>
      </c>
      <c r="AI36" s="47">
        <f t="shared" ref="AI36:AJ36" si="18">E36+I36+M36+Q36+U36+Y36+AC36+AG36</f>
        <v>1500</v>
      </c>
      <c r="AJ36" s="47">
        <f t="shared" si="18"/>
        <v>50</v>
      </c>
      <c r="AK36" s="37"/>
    </row>
    <row r="37" ht="15.75" customHeight="1">
      <c r="A37" s="1"/>
      <c r="B37" s="42" t="s">
        <v>66</v>
      </c>
      <c r="C37" s="39" t="s">
        <v>67</v>
      </c>
      <c r="D37" s="43">
        <v>250.0</v>
      </c>
      <c r="E37" s="43">
        <v>230.0</v>
      </c>
      <c r="F37" s="43">
        <f t="shared" si="4"/>
        <v>20</v>
      </c>
      <c r="G37" s="40" t="s">
        <v>67</v>
      </c>
      <c r="H37" s="44">
        <v>250.0</v>
      </c>
      <c r="I37" s="44">
        <v>250.0</v>
      </c>
      <c r="J37" s="44">
        <f t="shared" si="5"/>
        <v>0</v>
      </c>
      <c r="K37" s="39" t="s">
        <v>67</v>
      </c>
      <c r="L37" s="43">
        <v>200.0</v>
      </c>
      <c r="M37" s="43">
        <v>200.0</v>
      </c>
      <c r="N37" s="43">
        <f t="shared" si="6"/>
        <v>0</v>
      </c>
      <c r="O37" s="40" t="s">
        <v>67</v>
      </c>
      <c r="P37" s="40"/>
      <c r="Q37" s="44"/>
      <c r="R37" s="44">
        <f t="shared" si="7"/>
        <v>0</v>
      </c>
      <c r="S37" s="39" t="s">
        <v>67</v>
      </c>
      <c r="T37" s="43">
        <v>225.0</v>
      </c>
      <c r="U37" s="43">
        <v>225.0</v>
      </c>
      <c r="V37" s="43">
        <f t="shared" si="8"/>
        <v>0</v>
      </c>
      <c r="W37" s="40" t="s">
        <v>67</v>
      </c>
      <c r="X37" s="44">
        <v>225.0</v>
      </c>
      <c r="Y37" s="44">
        <v>225.0</v>
      </c>
      <c r="Z37" s="44">
        <f t="shared" si="9"/>
        <v>0</v>
      </c>
      <c r="AA37" s="39" t="s">
        <v>67</v>
      </c>
      <c r="AB37" s="45">
        <v>200.0</v>
      </c>
      <c r="AC37" s="43">
        <v>200.0</v>
      </c>
      <c r="AD37" s="43">
        <f t="shared" si="10"/>
        <v>0</v>
      </c>
      <c r="AE37" s="40" t="s">
        <v>67</v>
      </c>
      <c r="AF37" s="46">
        <v>200.0</v>
      </c>
      <c r="AG37" s="44">
        <v>200.0</v>
      </c>
      <c r="AH37" s="44">
        <f t="shared" si="11"/>
        <v>0</v>
      </c>
      <c r="AI37" s="47">
        <f t="shared" ref="AI37:AJ37" si="19">E37+I37+M37+Q37+U37+Y37+AC37+AG37</f>
        <v>1530</v>
      </c>
      <c r="AJ37" s="47">
        <f t="shared" si="19"/>
        <v>20</v>
      </c>
      <c r="AK37" s="37"/>
    </row>
    <row r="38" ht="15.75" customHeight="1">
      <c r="A38" s="1"/>
      <c r="B38" s="42" t="s">
        <v>68</v>
      </c>
      <c r="C38" s="39" t="s">
        <v>69</v>
      </c>
      <c r="D38" s="43">
        <v>225.0</v>
      </c>
      <c r="E38" s="43">
        <v>230.0</v>
      </c>
      <c r="F38" s="43">
        <f t="shared" si="4"/>
        <v>-5</v>
      </c>
      <c r="G38" s="40" t="s">
        <v>69</v>
      </c>
      <c r="H38" s="44">
        <v>250.0</v>
      </c>
      <c r="I38" s="44">
        <v>250.0</v>
      </c>
      <c r="J38" s="44">
        <f t="shared" si="5"/>
        <v>0</v>
      </c>
      <c r="K38" s="39" t="s">
        <v>69</v>
      </c>
      <c r="L38" s="43">
        <v>200.0</v>
      </c>
      <c r="M38" s="43">
        <v>200.0</v>
      </c>
      <c r="N38" s="43">
        <f t="shared" si="6"/>
        <v>0</v>
      </c>
      <c r="O38" s="40" t="s">
        <v>69</v>
      </c>
      <c r="P38" s="44">
        <v>250.0</v>
      </c>
      <c r="Q38" s="44">
        <v>250.0</v>
      </c>
      <c r="R38" s="44">
        <f t="shared" si="7"/>
        <v>0</v>
      </c>
      <c r="S38" s="39" t="s">
        <v>69</v>
      </c>
      <c r="T38" s="43">
        <v>225.0</v>
      </c>
      <c r="U38" s="43">
        <v>225.0</v>
      </c>
      <c r="V38" s="43">
        <f t="shared" si="8"/>
        <v>0</v>
      </c>
      <c r="W38" s="40" t="s">
        <v>69</v>
      </c>
      <c r="X38" s="44">
        <v>225.0</v>
      </c>
      <c r="Y38" s="44">
        <v>225.0</v>
      </c>
      <c r="Z38" s="44">
        <f t="shared" si="9"/>
        <v>0</v>
      </c>
      <c r="AA38" s="39" t="s">
        <v>69</v>
      </c>
      <c r="AB38" s="45">
        <v>200.0</v>
      </c>
      <c r="AC38" s="43">
        <v>200.0</v>
      </c>
      <c r="AD38" s="43">
        <f t="shared" si="10"/>
        <v>0</v>
      </c>
      <c r="AE38" s="40" t="s">
        <v>69</v>
      </c>
      <c r="AF38" s="46">
        <v>200.0</v>
      </c>
      <c r="AG38" s="44">
        <v>200.0</v>
      </c>
      <c r="AH38" s="44">
        <f t="shared" si="11"/>
        <v>0</v>
      </c>
      <c r="AI38" s="47">
        <f t="shared" ref="AI38:AJ38" si="20">E38+I38+M38+Q38+U38+Y38+AC38+AG38</f>
        <v>1780</v>
      </c>
      <c r="AJ38" s="47">
        <f t="shared" si="20"/>
        <v>-5</v>
      </c>
      <c r="AK38" s="37"/>
    </row>
    <row r="39" ht="15.75" customHeight="1">
      <c r="A39" s="1"/>
      <c r="B39" s="42" t="s">
        <v>70</v>
      </c>
      <c r="C39" s="39" t="s">
        <v>71</v>
      </c>
      <c r="D39" s="43">
        <v>225.0</v>
      </c>
      <c r="E39" s="43">
        <v>225.0</v>
      </c>
      <c r="F39" s="43">
        <f t="shared" si="4"/>
        <v>0</v>
      </c>
      <c r="G39" s="40" t="s">
        <v>71</v>
      </c>
      <c r="H39" s="44">
        <v>250.0</v>
      </c>
      <c r="I39" s="44">
        <v>250.0</v>
      </c>
      <c r="J39" s="44">
        <f t="shared" si="5"/>
        <v>0</v>
      </c>
      <c r="K39" s="39" t="s">
        <v>71</v>
      </c>
      <c r="L39" s="43">
        <v>200.0</v>
      </c>
      <c r="M39" s="43">
        <v>200.0</v>
      </c>
      <c r="N39" s="43">
        <f t="shared" si="6"/>
        <v>0</v>
      </c>
      <c r="O39" s="40" t="s">
        <v>71</v>
      </c>
      <c r="P39" s="44">
        <v>250.0</v>
      </c>
      <c r="Q39" s="44">
        <v>250.0</v>
      </c>
      <c r="R39" s="44">
        <f t="shared" si="7"/>
        <v>0</v>
      </c>
      <c r="S39" s="39" t="s">
        <v>71</v>
      </c>
      <c r="T39" s="43">
        <v>225.0</v>
      </c>
      <c r="U39" s="43">
        <v>225.0</v>
      </c>
      <c r="V39" s="43">
        <f t="shared" si="8"/>
        <v>0</v>
      </c>
      <c r="W39" s="40" t="s">
        <v>71</v>
      </c>
      <c r="X39" s="44">
        <v>225.0</v>
      </c>
      <c r="Y39" s="44">
        <v>225.0</v>
      </c>
      <c r="Z39" s="44">
        <f t="shared" si="9"/>
        <v>0</v>
      </c>
      <c r="AA39" s="39" t="s">
        <v>71</v>
      </c>
      <c r="AB39" s="45">
        <v>200.0</v>
      </c>
      <c r="AC39" s="43">
        <v>200.0</v>
      </c>
      <c r="AD39" s="43">
        <f t="shared" si="10"/>
        <v>0</v>
      </c>
      <c r="AE39" s="40" t="s">
        <v>71</v>
      </c>
      <c r="AF39" s="46">
        <v>200.0</v>
      </c>
      <c r="AG39" s="44">
        <v>200.0</v>
      </c>
      <c r="AH39" s="44">
        <f t="shared" si="11"/>
        <v>0</v>
      </c>
      <c r="AI39" s="47">
        <f t="shared" ref="AI39:AJ39" si="21">E39+I39+M39+Q39+U39+Y39+AC39+AG39</f>
        <v>1775</v>
      </c>
      <c r="AJ39" s="47">
        <f t="shared" si="21"/>
        <v>0</v>
      </c>
      <c r="AK39" s="37"/>
    </row>
    <row r="40" ht="15.75" customHeight="1">
      <c r="A40" s="1"/>
      <c r="B40" s="42" t="s">
        <v>72</v>
      </c>
      <c r="C40" s="39"/>
      <c r="D40" s="43">
        <v>225.0</v>
      </c>
      <c r="E40" s="43">
        <v>225.0</v>
      </c>
      <c r="F40" s="43">
        <f t="shared" si="4"/>
        <v>0</v>
      </c>
      <c r="G40" s="40"/>
      <c r="H40" s="40">
        <v>250.0</v>
      </c>
      <c r="I40" s="44">
        <v>250.0</v>
      </c>
      <c r="J40" s="44">
        <f t="shared" si="5"/>
        <v>0</v>
      </c>
      <c r="K40" s="39"/>
      <c r="L40" s="39">
        <v>200.0</v>
      </c>
      <c r="M40" s="43">
        <v>200.0</v>
      </c>
      <c r="N40" s="43">
        <f t="shared" si="6"/>
        <v>0</v>
      </c>
      <c r="O40" s="40"/>
      <c r="P40" s="40">
        <v>250.0</v>
      </c>
      <c r="Q40" s="44">
        <v>250.0</v>
      </c>
      <c r="R40" s="44">
        <f t="shared" si="7"/>
        <v>0</v>
      </c>
      <c r="S40" s="39"/>
      <c r="T40" s="39">
        <v>225.0</v>
      </c>
      <c r="U40" s="43">
        <v>225.0</v>
      </c>
      <c r="V40" s="43">
        <f t="shared" si="8"/>
        <v>0</v>
      </c>
      <c r="W40" s="40"/>
      <c r="X40" s="40">
        <v>225.0</v>
      </c>
      <c r="Y40" s="44">
        <v>225.0</v>
      </c>
      <c r="Z40" s="44">
        <f t="shared" si="9"/>
        <v>0</v>
      </c>
      <c r="AA40" s="39"/>
      <c r="AB40" s="45">
        <v>200.0</v>
      </c>
      <c r="AC40" s="43">
        <v>200.0</v>
      </c>
      <c r="AD40" s="43">
        <f t="shared" si="10"/>
        <v>0</v>
      </c>
      <c r="AE40" s="40"/>
      <c r="AF40" s="46">
        <v>200.0</v>
      </c>
      <c r="AG40" s="44">
        <v>200.0</v>
      </c>
      <c r="AH40" s="44">
        <f t="shared" si="11"/>
        <v>0</v>
      </c>
      <c r="AI40" s="47">
        <f t="shared" ref="AI40:AJ40" si="22">E40+I40+M40+Q40+U40+Y40+AC40+AG40</f>
        <v>1775</v>
      </c>
      <c r="AJ40" s="47">
        <f t="shared" si="22"/>
        <v>0</v>
      </c>
      <c r="AK40" s="37"/>
    </row>
    <row r="41" ht="15.75" customHeight="1">
      <c r="A41" s="6"/>
      <c r="B41" s="48" t="s">
        <v>73</v>
      </c>
      <c r="C41" s="49"/>
      <c r="D41" s="50">
        <f t="shared" ref="D41:F41" si="23">SUM(D29:D40)</f>
        <v>2612.97</v>
      </c>
      <c r="E41" s="50">
        <f t="shared" si="23"/>
        <v>2577.97</v>
      </c>
      <c r="F41" s="50">
        <f t="shared" si="23"/>
        <v>35</v>
      </c>
      <c r="G41" s="51"/>
      <c r="H41" s="51">
        <f t="shared" ref="H41:J41" si="24">SUM(H29:H40)</f>
        <v>2151.55</v>
      </c>
      <c r="I41" s="51">
        <f t="shared" si="24"/>
        <v>2151.55</v>
      </c>
      <c r="J41" s="51">
        <f t="shared" si="24"/>
        <v>0</v>
      </c>
      <c r="K41" s="50"/>
      <c r="L41" s="50">
        <f t="shared" ref="L41:N41" si="25">SUM(L29:L40)</f>
        <v>2161.54</v>
      </c>
      <c r="M41" s="50">
        <f t="shared" si="25"/>
        <v>2161.54</v>
      </c>
      <c r="N41" s="50">
        <f t="shared" si="25"/>
        <v>0</v>
      </c>
      <c r="O41" s="51"/>
      <c r="P41" s="51">
        <f t="shared" ref="P41:R41" si="26">SUM(P29:P40)</f>
        <v>2437.01</v>
      </c>
      <c r="Q41" s="51">
        <f t="shared" si="26"/>
        <v>2377.01</v>
      </c>
      <c r="R41" s="51">
        <f t="shared" si="26"/>
        <v>60</v>
      </c>
      <c r="S41" s="50"/>
      <c r="T41" s="50">
        <f t="shared" ref="T41:V41" si="27">SUM(T29:T40)</f>
        <v>2310.88</v>
      </c>
      <c r="U41" s="50">
        <f t="shared" si="27"/>
        <v>2080.88</v>
      </c>
      <c r="V41" s="50">
        <f t="shared" si="27"/>
        <v>230</v>
      </c>
      <c r="W41" s="51"/>
      <c r="X41" s="51">
        <f t="shared" ref="X41:Z41" si="28">SUM(X29:X40)</f>
        <v>2577.59</v>
      </c>
      <c r="Y41" s="51">
        <f t="shared" si="28"/>
        <v>2576.591154</v>
      </c>
      <c r="Z41" s="51">
        <f t="shared" si="28"/>
        <v>0.9988461538</v>
      </c>
      <c r="AA41" s="50"/>
      <c r="AB41" s="50">
        <f t="shared" ref="AB41:AD41" si="29">SUM(AB29:AB40)</f>
        <v>1000</v>
      </c>
      <c r="AC41" s="50">
        <f t="shared" si="29"/>
        <v>1000</v>
      </c>
      <c r="AD41" s="50">
        <f t="shared" si="29"/>
        <v>0</v>
      </c>
      <c r="AE41" s="51"/>
      <c r="AF41" s="51">
        <f t="shared" ref="AF41:AJ41" si="30">SUM(AF29:AF40)</f>
        <v>2400</v>
      </c>
      <c r="AG41" s="51">
        <f t="shared" si="30"/>
        <v>2400</v>
      </c>
      <c r="AH41" s="51">
        <f t="shared" si="30"/>
        <v>0</v>
      </c>
      <c r="AI41" s="52">
        <f t="shared" si="30"/>
        <v>17325.54115</v>
      </c>
      <c r="AJ41" s="52">
        <f t="shared" si="30"/>
        <v>325.9988462</v>
      </c>
      <c r="AK41" s="37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2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53"/>
      <c r="J44" s="53"/>
      <c r="K44" s="53"/>
      <c r="L44" s="1"/>
      <c r="M44" s="53"/>
      <c r="N44" s="53"/>
      <c r="O44" s="53"/>
      <c r="P44" s="1"/>
      <c r="Q44" s="53"/>
      <c r="R44" s="53"/>
      <c r="S44" s="53"/>
      <c r="T44" s="1"/>
      <c r="U44" s="53"/>
      <c r="V44" s="53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2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2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2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2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2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2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2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2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2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2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2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2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2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2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2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2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2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2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2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2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2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2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2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2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2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2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2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2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2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2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2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2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2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2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2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2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2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2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2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2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2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2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2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2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2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2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2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2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2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2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2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2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2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2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2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2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2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2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2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2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2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2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2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2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2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2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2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2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2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2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2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2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2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2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2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2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2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2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2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2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2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2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2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2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2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2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2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2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2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2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2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2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2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2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2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2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2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2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2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2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2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2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2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2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2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2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2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2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2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2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2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2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2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2"/>
    </row>
    <row r="242" ht="15.75" customHeight="1">
      <c r="AK242" s="2"/>
    </row>
    <row r="243" ht="15.75" customHeight="1">
      <c r="AK243" s="2"/>
    </row>
    <row r="244" ht="15.75" customHeight="1">
      <c r="AK244" s="2"/>
    </row>
    <row r="245" ht="15.75" customHeight="1">
      <c r="AK245" s="2"/>
    </row>
    <row r="246" ht="15.75" customHeight="1">
      <c r="AK246" s="2"/>
    </row>
    <row r="247" ht="15.75" customHeight="1">
      <c r="AK247" s="2"/>
    </row>
    <row r="248" ht="15.75" customHeight="1">
      <c r="AK248" s="2"/>
    </row>
    <row r="249" ht="15.75" customHeight="1">
      <c r="AK249" s="2"/>
    </row>
    <row r="250" ht="15.75" customHeight="1">
      <c r="AK250" s="2"/>
    </row>
    <row r="251" ht="15.75" customHeight="1">
      <c r="AK251" s="2"/>
    </row>
    <row r="252" ht="15.75" customHeight="1">
      <c r="AK252" s="2"/>
    </row>
    <row r="253" ht="15.75" customHeight="1">
      <c r="AK253" s="2"/>
    </row>
    <row r="254" ht="15.75" customHeight="1">
      <c r="AK254" s="2"/>
    </row>
    <row r="255" ht="15.75" customHeight="1">
      <c r="AK255" s="2"/>
    </row>
    <row r="256" ht="15.75" customHeight="1">
      <c r="AK256" s="2"/>
    </row>
    <row r="257" ht="15.75" customHeight="1">
      <c r="AK257" s="2"/>
    </row>
    <row r="258" ht="15.75" customHeight="1">
      <c r="AK258" s="2"/>
    </row>
    <row r="259" ht="15.75" customHeight="1">
      <c r="AK259" s="2"/>
    </row>
    <row r="260" ht="15.75" customHeight="1">
      <c r="AK260" s="2"/>
    </row>
    <row r="261" ht="15.75" customHeight="1">
      <c r="AK261" s="2"/>
    </row>
    <row r="262" ht="15.75" customHeight="1">
      <c r="AK262" s="2"/>
    </row>
    <row r="263" ht="15.75" customHeight="1">
      <c r="AK263" s="2"/>
    </row>
    <row r="264" ht="15.75" customHeight="1">
      <c r="AK264" s="2"/>
    </row>
    <row r="265" ht="15.75" customHeight="1">
      <c r="AK265" s="2"/>
    </row>
    <row r="266" ht="15.75" customHeight="1">
      <c r="AK266" s="2"/>
    </row>
    <row r="267" ht="15.75" customHeight="1">
      <c r="AK267" s="2"/>
    </row>
    <row r="268" ht="15.75" customHeight="1">
      <c r="AK268" s="2"/>
    </row>
    <row r="269" ht="15.75" customHeight="1">
      <c r="AK269" s="2"/>
    </row>
    <row r="270" ht="15.75" customHeight="1">
      <c r="AK270" s="2"/>
    </row>
    <row r="271" ht="15.75" customHeight="1">
      <c r="AK271" s="2"/>
    </row>
    <row r="272" ht="15.75" customHeight="1">
      <c r="AK272" s="2"/>
    </row>
    <row r="273" ht="15.75" customHeight="1">
      <c r="AK273" s="2"/>
    </row>
    <row r="274" ht="15.75" customHeight="1">
      <c r="AK274" s="2"/>
    </row>
    <row r="275" ht="15.75" customHeight="1">
      <c r="AK275" s="2"/>
    </row>
    <row r="276" ht="15.75" customHeight="1">
      <c r="AK276" s="2"/>
    </row>
    <row r="277" ht="15.75" customHeight="1">
      <c r="AK277" s="2"/>
    </row>
    <row r="278" ht="15.75" customHeight="1">
      <c r="AK278" s="2"/>
    </row>
    <row r="279" ht="15.75" customHeight="1">
      <c r="AK279" s="2"/>
    </row>
    <row r="280" ht="15.75" customHeight="1">
      <c r="AK280" s="2"/>
    </row>
    <row r="281" ht="15.75" customHeight="1">
      <c r="AK281" s="2"/>
    </row>
    <row r="282" ht="15.75" customHeight="1">
      <c r="AK282" s="2"/>
    </row>
    <row r="283" ht="15.75" customHeight="1">
      <c r="AK283" s="2"/>
    </row>
    <row r="284" ht="15.75" customHeight="1">
      <c r="AK284" s="2"/>
    </row>
    <row r="285" ht="15.75" customHeight="1">
      <c r="AK285" s="2"/>
    </row>
    <row r="286" ht="15.75" customHeight="1">
      <c r="AK286" s="2"/>
    </row>
    <row r="287" ht="15.75" customHeight="1">
      <c r="AK287" s="2"/>
    </row>
    <row r="288" ht="15.75" customHeight="1">
      <c r="AK288" s="2"/>
    </row>
    <row r="289" ht="15.75" customHeight="1">
      <c r="AK289" s="2"/>
    </row>
    <row r="290" ht="15.75" customHeight="1">
      <c r="AK290" s="2"/>
    </row>
    <row r="291" ht="15.75" customHeight="1">
      <c r="AK291" s="2"/>
    </row>
    <row r="292" ht="15.75" customHeight="1">
      <c r="AK292" s="2"/>
    </row>
    <row r="293" ht="15.75" customHeight="1">
      <c r="AK293" s="2"/>
    </row>
    <row r="294" ht="15.75" customHeight="1">
      <c r="AK294" s="2"/>
    </row>
    <row r="295" ht="15.75" customHeight="1">
      <c r="AK295" s="2"/>
    </row>
    <row r="296" ht="15.75" customHeight="1">
      <c r="AK296" s="2"/>
    </row>
    <row r="297" ht="15.75" customHeight="1">
      <c r="AK297" s="2"/>
    </row>
    <row r="298" ht="15.75" customHeight="1">
      <c r="AK298" s="2"/>
    </row>
    <row r="299" ht="15.75" customHeight="1">
      <c r="AK299" s="2"/>
    </row>
    <row r="300" ht="15.75" customHeight="1">
      <c r="AK300" s="2"/>
    </row>
    <row r="301" ht="15.75" customHeight="1">
      <c r="AK301" s="2"/>
    </row>
    <row r="302" ht="15.75" customHeight="1">
      <c r="AK302" s="2"/>
    </row>
    <row r="303" ht="15.75" customHeight="1">
      <c r="AK303" s="2"/>
    </row>
    <row r="304" ht="15.75" customHeight="1">
      <c r="AK304" s="2"/>
    </row>
    <row r="305" ht="15.75" customHeight="1">
      <c r="AK305" s="2"/>
    </row>
    <row r="306" ht="15.75" customHeight="1">
      <c r="AK306" s="2"/>
    </row>
    <row r="307" ht="15.75" customHeight="1">
      <c r="AK307" s="2"/>
    </row>
    <row r="308" ht="15.75" customHeight="1">
      <c r="AK308" s="2"/>
    </row>
    <row r="309" ht="15.75" customHeight="1">
      <c r="AK309" s="2"/>
    </row>
    <row r="310" ht="15.75" customHeight="1">
      <c r="AK310" s="2"/>
    </row>
    <row r="311" ht="15.75" customHeight="1">
      <c r="AK311" s="2"/>
    </row>
    <row r="312" ht="15.75" customHeight="1">
      <c r="AK312" s="2"/>
    </row>
    <row r="313" ht="15.75" customHeight="1">
      <c r="AK313" s="2"/>
    </row>
    <row r="314" ht="15.75" customHeight="1">
      <c r="AK314" s="2"/>
    </row>
    <row r="315" ht="15.75" customHeight="1">
      <c r="AK315" s="2"/>
    </row>
    <row r="316" ht="15.75" customHeight="1">
      <c r="AK316" s="2"/>
    </row>
    <row r="317" ht="15.75" customHeight="1">
      <c r="AK317" s="2"/>
    </row>
    <row r="318" ht="15.75" customHeight="1">
      <c r="AK318" s="2"/>
    </row>
    <row r="319" ht="15.75" customHeight="1">
      <c r="AK319" s="2"/>
    </row>
    <row r="320" ht="15.75" customHeight="1">
      <c r="AK320" s="2"/>
    </row>
    <row r="321" ht="15.75" customHeight="1">
      <c r="AK321" s="2"/>
    </row>
    <row r="322" ht="15.75" customHeight="1">
      <c r="AK322" s="2"/>
    </row>
    <row r="323" ht="15.75" customHeight="1">
      <c r="AK323" s="2"/>
    </row>
    <row r="324" ht="15.75" customHeight="1">
      <c r="AK324" s="2"/>
    </row>
    <row r="325" ht="15.75" customHeight="1">
      <c r="AK325" s="2"/>
    </row>
    <row r="326" ht="15.75" customHeight="1">
      <c r="AK326" s="2"/>
    </row>
    <row r="327" ht="15.75" customHeight="1">
      <c r="AK327" s="2"/>
    </row>
    <row r="328" ht="15.75" customHeight="1">
      <c r="AK328" s="2"/>
    </row>
    <row r="329" ht="15.75" customHeight="1">
      <c r="AK329" s="2"/>
    </row>
    <row r="330" ht="15.75" customHeight="1">
      <c r="AK330" s="2"/>
    </row>
    <row r="331" ht="15.75" customHeight="1">
      <c r="AK331" s="2"/>
    </row>
    <row r="332" ht="15.75" customHeight="1">
      <c r="AK332" s="2"/>
    </row>
    <row r="333" ht="15.75" customHeight="1">
      <c r="AK333" s="2"/>
    </row>
    <row r="334" ht="15.75" customHeight="1">
      <c r="AK334" s="2"/>
    </row>
    <row r="335" ht="15.75" customHeight="1">
      <c r="AK335" s="2"/>
    </row>
    <row r="336" ht="15.75" customHeight="1">
      <c r="AK336" s="2"/>
    </row>
    <row r="337" ht="15.75" customHeight="1">
      <c r="AK337" s="2"/>
    </row>
    <row r="338" ht="15.75" customHeight="1">
      <c r="AK338" s="2"/>
    </row>
    <row r="339" ht="15.75" customHeight="1">
      <c r="AK339" s="2"/>
    </row>
    <row r="340" ht="15.75" customHeight="1">
      <c r="AK340" s="2"/>
    </row>
    <row r="341" ht="15.75" customHeight="1">
      <c r="AK341" s="2"/>
    </row>
    <row r="342" ht="15.75" customHeight="1">
      <c r="AK342" s="2"/>
    </row>
    <row r="343" ht="15.75" customHeight="1">
      <c r="AK343" s="2"/>
    </row>
    <row r="344" ht="15.75" customHeight="1">
      <c r="AK344" s="2"/>
    </row>
    <row r="345" ht="15.75" customHeight="1">
      <c r="AK345" s="2"/>
    </row>
    <row r="346" ht="15.75" customHeight="1">
      <c r="AK346" s="2"/>
    </row>
    <row r="347" ht="15.75" customHeight="1">
      <c r="AK347" s="2"/>
    </row>
    <row r="348" ht="15.75" customHeight="1">
      <c r="AK348" s="2"/>
    </row>
    <row r="349" ht="15.75" customHeight="1">
      <c r="AK349" s="2"/>
    </row>
    <row r="350" ht="15.75" customHeight="1">
      <c r="AK350" s="2"/>
    </row>
    <row r="351" ht="15.75" customHeight="1">
      <c r="AK351" s="2"/>
    </row>
    <row r="352" ht="15.75" customHeight="1">
      <c r="AK352" s="2"/>
    </row>
    <row r="353" ht="15.75" customHeight="1">
      <c r="AK353" s="2"/>
    </row>
    <row r="354" ht="15.75" customHeight="1">
      <c r="AK354" s="2"/>
    </row>
    <row r="355" ht="15.75" customHeight="1">
      <c r="AK355" s="2"/>
    </row>
    <row r="356" ht="15.75" customHeight="1">
      <c r="AK356" s="2"/>
    </row>
    <row r="357" ht="15.75" customHeight="1">
      <c r="AK357" s="2"/>
    </row>
    <row r="358" ht="15.75" customHeight="1">
      <c r="AK358" s="2"/>
    </row>
    <row r="359" ht="15.75" customHeight="1">
      <c r="AK359" s="2"/>
    </row>
    <row r="360" ht="15.75" customHeight="1">
      <c r="AK360" s="2"/>
    </row>
    <row r="361" ht="15.75" customHeight="1">
      <c r="AK361" s="2"/>
    </row>
    <row r="362" ht="15.75" customHeight="1">
      <c r="AK362" s="2"/>
    </row>
    <row r="363" ht="15.75" customHeight="1">
      <c r="AK363" s="2"/>
    </row>
    <row r="364" ht="15.75" customHeight="1">
      <c r="AK364" s="2"/>
    </row>
    <row r="365" ht="15.75" customHeight="1">
      <c r="AK365" s="2"/>
    </row>
    <row r="366" ht="15.75" customHeight="1">
      <c r="AK366" s="2"/>
    </row>
    <row r="367" ht="15.75" customHeight="1">
      <c r="AK367" s="2"/>
    </row>
    <row r="368" ht="15.75" customHeight="1">
      <c r="AK368" s="2"/>
    </row>
    <row r="369" ht="15.75" customHeight="1">
      <c r="AK369" s="2"/>
    </row>
    <row r="370" ht="15.75" customHeight="1">
      <c r="AK370" s="2"/>
    </row>
    <row r="371" ht="15.75" customHeight="1">
      <c r="AK371" s="2"/>
    </row>
    <row r="372" ht="15.75" customHeight="1">
      <c r="AK372" s="2"/>
    </row>
    <row r="373" ht="15.75" customHeight="1">
      <c r="AK373" s="2"/>
    </row>
    <row r="374" ht="15.75" customHeight="1">
      <c r="AK374" s="2"/>
    </row>
    <row r="375" ht="15.75" customHeight="1">
      <c r="AK375" s="2"/>
    </row>
    <row r="376" ht="15.75" customHeight="1">
      <c r="AK376" s="2"/>
    </row>
    <row r="377" ht="15.75" customHeight="1">
      <c r="AK377" s="2"/>
    </row>
    <row r="378" ht="15.75" customHeight="1">
      <c r="AK378" s="2"/>
    </row>
    <row r="379" ht="15.75" customHeight="1">
      <c r="AK379" s="2"/>
    </row>
    <row r="380" ht="15.75" customHeight="1">
      <c r="AK380" s="2"/>
    </row>
    <row r="381" ht="15.75" customHeight="1">
      <c r="AK381" s="2"/>
    </row>
    <row r="382" ht="15.75" customHeight="1">
      <c r="AK382" s="2"/>
    </row>
    <row r="383" ht="15.75" customHeight="1">
      <c r="AK383" s="2"/>
    </row>
    <row r="384" ht="15.75" customHeight="1">
      <c r="AK384" s="2"/>
    </row>
    <row r="385" ht="15.75" customHeight="1">
      <c r="AK385" s="2"/>
    </row>
    <row r="386" ht="15.75" customHeight="1">
      <c r="AK386" s="2"/>
    </row>
    <row r="387" ht="15.75" customHeight="1">
      <c r="AK387" s="2"/>
    </row>
    <row r="388" ht="15.75" customHeight="1">
      <c r="AK388" s="2"/>
    </row>
    <row r="389" ht="15.75" customHeight="1">
      <c r="AK389" s="2"/>
    </row>
    <row r="390" ht="15.75" customHeight="1">
      <c r="AK390" s="2"/>
    </row>
    <row r="391" ht="15.75" customHeight="1">
      <c r="AK391" s="2"/>
    </row>
    <row r="392" ht="15.75" customHeight="1">
      <c r="AK392" s="2"/>
    </row>
    <row r="393" ht="15.75" customHeight="1">
      <c r="AK393" s="2"/>
    </row>
    <row r="394" ht="15.75" customHeight="1">
      <c r="AK394" s="2"/>
    </row>
    <row r="395" ht="15.75" customHeight="1">
      <c r="AK395" s="2"/>
    </row>
    <row r="396" ht="15.75" customHeight="1">
      <c r="AK396" s="2"/>
    </row>
    <row r="397" ht="15.75" customHeight="1">
      <c r="AK397" s="2"/>
    </row>
    <row r="398" ht="15.75" customHeight="1">
      <c r="AK398" s="2"/>
    </row>
    <row r="399" ht="15.75" customHeight="1">
      <c r="AK399" s="2"/>
    </row>
    <row r="400" ht="15.75" customHeight="1">
      <c r="AK400" s="2"/>
    </row>
    <row r="401" ht="15.75" customHeight="1">
      <c r="AK401" s="2"/>
    </row>
    <row r="402" ht="15.75" customHeight="1">
      <c r="AK402" s="2"/>
    </row>
    <row r="403" ht="15.75" customHeight="1">
      <c r="AK403" s="2"/>
    </row>
    <row r="404" ht="15.75" customHeight="1">
      <c r="AK404" s="2"/>
    </row>
    <row r="405" ht="15.75" customHeight="1">
      <c r="AK405" s="2"/>
    </row>
    <row r="406" ht="15.75" customHeight="1">
      <c r="AK406" s="2"/>
    </row>
    <row r="407" ht="15.75" customHeight="1">
      <c r="AK407" s="2"/>
    </row>
    <row r="408" ht="15.75" customHeight="1">
      <c r="AK408" s="2"/>
    </row>
    <row r="409" ht="15.75" customHeight="1">
      <c r="AK409" s="2"/>
    </row>
    <row r="410" ht="15.75" customHeight="1">
      <c r="AK410" s="2"/>
    </row>
    <row r="411" ht="15.75" customHeight="1">
      <c r="AK411" s="2"/>
    </row>
    <row r="412" ht="15.75" customHeight="1">
      <c r="AK412" s="2"/>
    </row>
    <row r="413" ht="15.75" customHeight="1">
      <c r="AK413" s="2"/>
    </row>
    <row r="414" ht="15.75" customHeight="1">
      <c r="AK414" s="2"/>
    </row>
    <row r="415" ht="15.75" customHeight="1">
      <c r="AK415" s="2"/>
    </row>
    <row r="416" ht="15.75" customHeight="1">
      <c r="AK416" s="2"/>
    </row>
    <row r="417" ht="15.75" customHeight="1">
      <c r="AK417" s="2"/>
    </row>
    <row r="418" ht="15.75" customHeight="1">
      <c r="AK418" s="2"/>
    </row>
    <row r="419" ht="15.75" customHeight="1">
      <c r="AK419" s="2"/>
    </row>
    <row r="420" ht="15.75" customHeight="1">
      <c r="AK420" s="2"/>
    </row>
    <row r="421" ht="15.75" customHeight="1">
      <c r="AK421" s="2"/>
    </row>
    <row r="422" ht="15.75" customHeight="1">
      <c r="AK422" s="2"/>
    </row>
    <row r="423" ht="15.75" customHeight="1">
      <c r="AK423" s="2"/>
    </row>
    <row r="424" ht="15.75" customHeight="1">
      <c r="AK424" s="2"/>
    </row>
    <row r="425" ht="15.75" customHeight="1">
      <c r="AK425" s="2"/>
    </row>
    <row r="426" ht="15.75" customHeight="1">
      <c r="AK426" s="2"/>
    </row>
    <row r="427" ht="15.75" customHeight="1">
      <c r="AK427" s="2"/>
    </row>
    <row r="428" ht="15.75" customHeight="1">
      <c r="AK428" s="2"/>
    </row>
    <row r="429" ht="15.75" customHeight="1">
      <c r="AK429" s="2"/>
    </row>
    <row r="430" ht="15.75" customHeight="1">
      <c r="AK430" s="2"/>
    </row>
    <row r="431" ht="15.75" customHeight="1">
      <c r="AK431" s="2"/>
    </row>
    <row r="432" ht="15.75" customHeight="1">
      <c r="AK432" s="2"/>
    </row>
    <row r="433" ht="15.75" customHeight="1">
      <c r="AK433" s="2"/>
    </row>
    <row r="434" ht="15.75" customHeight="1">
      <c r="AK434" s="2"/>
    </row>
    <row r="435" ht="15.75" customHeight="1">
      <c r="AK435" s="2"/>
    </row>
    <row r="436" ht="15.75" customHeight="1">
      <c r="AK436" s="2"/>
    </row>
    <row r="437" ht="15.75" customHeight="1">
      <c r="AK437" s="2"/>
    </row>
    <row r="438" ht="15.75" customHeight="1">
      <c r="AK438" s="2"/>
    </row>
    <row r="439" ht="15.75" customHeight="1">
      <c r="AK439" s="2"/>
    </row>
    <row r="440" ht="15.75" customHeight="1">
      <c r="AK440" s="2"/>
    </row>
    <row r="441" ht="15.75" customHeight="1">
      <c r="AK441" s="2"/>
    </row>
    <row r="442" ht="15.75" customHeight="1">
      <c r="AK442" s="2"/>
    </row>
    <row r="443" ht="15.75" customHeight="1">
      <c r="AK443" s="2"/>
    </row>
    <row r="444" ht="15.75" customHeight="1">
      <c r="AK444" s="2"/>
    </row>
    <row r="445" ht="15.75" customHeight="1">
      <c r="AK445" s="2"/>
    </row>
    <row r="446" ht="15.75" customHeight="1">
      <c r="AK446" s="2"/>
    </row>
    <row r="447" ht="15.75" customHeight="1">
      <c r="AK447" s="2"/>
    </row>
    <row r="448" ht="15.75" customHeight="1">
      <c r="AK448" s="2"/>
    </row>
    <row r="449" ht="15.75" customHeight="1">
      <c r="AK449" s="2"/>
    </row>
    <row r="450" ht="15.75" customHeight="1">
      <c r="AK450" s="2"/>
    </row>
    <row r="451" ht="15.75" customHeight="1">
      <c r="AK451" s="2"/>
    </row>
    <row r="452" ht="15.75" customHeight="1">
      <c r="AK452" s="2"/>
    </row>
    <row r="453" ht="15.75" customHeight="1">
      <c r="AK453" s="2"/>
    </row>
    <row r="454" ht="15.75" customHeight="1">
      <c r="AK454" s="2"/>
    </row>
    <row r="455" ht="15.75" customHeight="1">
      <c r="AK455" s="2"/>
    </row>
    <row r="456" ht="15.75" customHeight="1">
      <c r="AK456" s="2"/>
    </row>
    <row r="457" ht="15.75" customHeight="1">
      <c r="AK457" s="2"/>
    </row>
    <row r="458" ht="15.75" customHeight="1">
      <c r="AK458" s="2"/>
    </row>
    <row r="459" ht="15.75" customHeight="1">
      <c r="AK459" s="2"/>
    </row>
    <row r="460" ht="15.75" customHeight="1">
      <c r="AK460" s="2"/>
    </row>
    <row r="461" ht="15.75" customHeight="1">
      <c r="AK461" s="2"/>
    </row>
    <row r="462" ht="15.75" customHeight="1">
      <c r="AK462" s="2"/>
    </row>
    <row r="463" ht="15.75" customHeight="1">
      <c r="AK463" s="2"/>
    </row>
    <row r="464" ht="15.75" customHeight="1">
      <c r="AK464" s="2"/>
    </row>
    <row r="465" ht="15.75" customHeight="1">
      <c r="AK465" s="2"/>
    </row>
    <row r="466" ht="15.75" customHeight="1">
      <c r="AK466" s="2"/>
    </row>
    <row r="467" ht="15.75" customHeight="1">
      <c r="AK467" s="2"/>
    </row>
    <row r="468" ht="15.75" customHeight="1">
      <c r="AK468" s="2"/>
    </row>
    <row r="469" ht="15.75" customHeight="1">
      <c r="AK469" s="2"/>
    </row>
    <row r="470" ht="15.75" customHeight="1">
      <c r="AK470" s="2"/>
    </row>
    <row r="471" ht="15.75" customHeight="1">
      <c r="AK471" s="2"/>
    </row>
    <row r="472" ht="15.75" customHeight="1">
      <c r="AK472" s="2"/>
    </row>
    <row r="473" ht="15.75" customHeight="1">
      <c r="AK473" s="2"/>
    </row>
    <row r="474" ht="15.75" customHeight="1">
      <c r="AK474" s="2"/>
    </row>
    <row r="475" ht="15.75" customHeight="1">
      <c r="AK475" s="2"/>
    </row>
    <row r="476" ht="15.75" customHeight="1">
      <c r="AK476" s="2"/>
    </row>
    <row r="477" ht="15.75" customHeight="1">
      <c r="AK477" s="2"/>
    </row>
    <row r="478" ht="15.75" customHeight="1">
      <c r="AK478" s="2"/>
    </row>
    <row r="479" ht="15.75" customHeight="1">
      <c r="AK479" s="2"/>
    </row>
    <row r="480" ht="15.75" customHeight="1">
      <c r="AK480" s="2"/>
    </row>
    <row r="481" ht="15.75" customHeight="1">
      <c r="AK481" s="2"/>
    </row>
    <row r="482" ht="15.75" customHeight="1">
      <c r="AK482" s="2"/>
    </row>
    <row r="483" ht="15.75" customHeight="1">
      <c r="AK483" s="2"/>
    </row>
    <row r="484" ht="15.75" customHeight="1">
      <c r="AK484" s="2"/>
    </row>
    <row r="485" ht="15.75" customHeight="1">
      <c r="AK485" s="2"/>
    </row>
    <row r="486" ht="15.75" customHeight="1">
      <c r="AK486" s="2"/>
    </row>
    <row r="487" ht="15.75" customHeight="1">
      <c r="AK487" s="2"/>
    </row>
    <row r="488" ht="15.75" customHeight="1">
      <c r="AK488" s="2"/>
    </row>
    <row r="489" ht="15.75" customHeight="1">
      <c r="AK489" s="2"/>
    </row>
    <row r="490" ht="15.75" customHeight="1">
      <c r="AK490" s="2"/>
    </row>
    <row r="491" ht="15.75" customHeight="1">
      <c r="AK491" s="2"/>
    </row>
    <row r="492" ht="15.75" customHeight="1">
      <c r="AK492" s="2"/>
    </row>
    <row r="493" ht="15.75" customHeight="1">
      <c r="AK493" s="2"/>
    </row>
    <row r="494" ht="15.75" customHeight="1">
      <c r="AK494" s="2"/>
    </row>
    <row r="495" ht="15.75" customHeight="1">
      <c r="AK495" s="2"/>
    </row>
    <row r="496" ht="15.75" customHeight="1">
      <c r="AK496" s="2"/>
    </row>
    <row r="497" ht="15.75" customHeight="1">
      <c r="AK497" s="2"/>
    </row>
    <row r="498" ht="15.75" customHeight="1">
      <c r="AK498" s="2"/>
    </row>
    <row r="499" ht="15.75" customHeight="1">
      <c r="AK499" s="2"/>
    </row>
    <row r="500" ht="15.75" customHeight="1">
      <c r="AK500" s="2"/>
    </row>
    <row r="501" ht="15.75" customHeight="1">
      <c r="AK501" s="2"/>
    </row>
    <row r="502" ht="15.75" customHeight="1">
      <c r="AK502" s="2"/>
    </row>
    <row r="503" ht="15.75" customHeight="1">
      <c r="AK503" s="2"/>
    </row>
    <row r="504" ht="15.75" customHeight="1">
      <c r="AK504" s="2"/>
    </row>
    <row r="505" ht="15.75" customHeight="1">
      <c r="AK505" s="2"/>
    </row>
    <row r="506" ht="15.75" customHeight="1">
      <c r="AK506" s="2"/>
    </row>
    <row r="507" ht="15.75" customHeight="1">
      <c r="AK507" s="2"/>
    </row>
    <row r="508" ht="15.75" customHeight="1">
      <c r="AK508" s="2"/>
    </row>
    <row r="509" ht="15.75" customHeight="1">
      <c r="AK509" s="2"/>
    </row>
    <row r="510" ht="15.75" customHeight="1">
      <c r="AK510" s="2"/>
    </row>
    <row r="511" ht="15.75" customHeight="1">
      <c r="AK511" s="2"/>
    </row>
    <row r="512" ht="15.75" customHeight="1">
      <c r="AK512" s="2"/>
    </row>
    <row r="513" ht="15.75" customHeight="1">
      <c r="AK513" s="2"/>
    </row>
    <row r="514" ht="15.75" customHeight="1">
      <c r="AK514" s="2"/>
    </row>
    <row r="515" ht="15.75" customHeight="1">
      <c r="AK515" s="2"/>
    </row>
    <row r="516" ht="15.75" customHeight="1">
      <c r="AK516" s="2"/>
    </row>
    <row r="517" ht="15.75" customHeight="1">
      <c r="AK517" s="2"/>
    </row>
    <row r="518" ht="15.75" customHeight="1">
      <c r="AK518" s="2"/>
    </row>
    <row r="519" ht="15.75" customHeight="1">
      <c r="AK519" s="2"/>
    </row>
    <row r="520" ht="15.75" customHeight="1">
      <c r="AK520" s="2"/>
    </row>
    <row r="521" ht="15.75" customHeight="1">
      <c r="AK521" s="2"/>
    </row>
    <row r="522" ht="15.75" customHeight="1">
      <c r="AK522" s="2"/>
    </row>
    <row r="523" ht="15.75" customHeight="1">
      <c r="AK523" s="2"/>
    </row>
    <row r="524" ht="15.75" customHeight="1">
      <c r="AK524" s="2"/>
    </row>
    <row r="525" ht="15.75" customHeight="1">
      <c r="AK525" s="2"/>
    </row>
    <row r="526" ht="15.75" customHeight="1">
      <c r="AK526" s="2"/>
    </row>
    <row r="527" ht="15.75" customHeight="1">
      <c r="AK527" s="2"/>
    </row>
    <row r="528" ht="15.75" customHeight="1">
      <c r="AK528" s="2"/>
    </row>
    <row r="529" ht="15.75" customHeight="1">
      <c r="AK529" s="2"/>
    </row>
    <row r="530" ht="15.75" customHeight="1">
      <c r="AK530" s="2"/>
    </row>
    <row r="531" ht="15.75" customHeight="1">
      <c r="AK531" s="2"/>
    </row>
    <row r="532" ht="15.75" customHeight="1">
      <c r="AK532" s="2"/>
    </row>
    <row r="533" ht="15.75" customHeight="1">
      <c r="AK533" s="2"/>
    </row>
    <row r="534" ht="15.75" customHeight="1">
      <c r="AK534" s="2"/>
    </row>
    <row r="535" ht="15.75" customHeight="1">
      <c r="AK535" s="2"/>
    </row>
    <row r="536" ht="15.75" customHeight="1">
      <c r="AK536" s="2"/>
    </row>
    <row r="537" ht="15.75" customHeight="1">
      <c r="AK537" s="2"/>
    </row>
    <row r="538" ht="15.75" customHeight="1">
      <c r="AK538" s="2"/>
    </row>
    <row r="539" ht="15.75" customHeight="1">
      <c r="AK539" s="2"/>
    </row>
    <row r="540" ht="15.75" customHeight="1">
      <c r="AK540" s="2"/>
    </row>
    <row r="541" ht="15.75" customHeight="1">
      <c r="AK541" s="2"/>
    </row>
    <row r="542" ht="15.75" customHeight="1">
      <c r="AK542" s="2"/>
    </row>
    <row r="543" ht="15.75" customHeight="1">
      <c r="AK543" s="2"/>
    </row>
    <row r="544" ht="15.75" customHeight="1">
      <c r="AK544" s="2"/>
    </row>
    <row r="545" ht="15.75" customHeight="1">
      <c r="AK545" s="2"/>
    </row>
    <row r="546" ht="15.75" customHeight="1">
      <c r="AK546" s="2"/>
    </row>
    <row r="547" ht="15.75" customHeight="1">
      <c r="AK547" s="2"/>
    </row>
    <row r="548" ht="15.75" customHeight="1">
      <c r="AK548" s="2"/>
    </row>
    <row r="549" ht="15.75" customHeight="1">
      <c r="AK549" s="2"/>
    </row>
    <row r="550" ht="15.75" customHeight="1">
      <c r="AK550" s="2"/>
    </row>
    <row r="551" ht="15.75" customHeight="1">
      <c r="AK551" s="2"/>
    </row>
    <row r="552" ht="15.75" customHeight="1">
      <c r="AK552" s="2"/>
    </row>
    <row r="553" ht="15.75" customHeight="1">
      <c r="AK553" s="2"/>
    </row>
    <row r="554" ht="15.75" customHeight="1">
      <c r="AK554" s="2"/>
    </row>
    <row r="555" ht="15.75" customHeight="1">
      <c r="AK555" s="2"/>
    </row>
    <row r="556" ht="15.75" customHeight="1">
      <c r="AK556" s="2"/>
    </row>
    <row r="557" ht="15.75" customHeight="1">
      <c r="AK557" s="2"/>
    </row>
    <row r="558" ht="15.75" customHeight="1">
      <c r="AK558" s="2"/>
    </row>
    <row r="559" ht="15.75" customHeight="1">
      <c r="AK559" s="2"/>
    </row>
    <row r="560" ht="15.75" customHeight="1">
      <c r="AK560" s="2"/>
    </row>
    <row r="561" ht="15.75" customHeight="1">
      <c r="AK561" s="2"/>
    </row>
    <row r="562" ht="15.75" customHeight="1">
      <c r="AK562" s="2"/>
    </row>
    <row r="563" ht="15.75" customHeight="1">
      <c r="AK563" s="2"/>
    </row>
    <row r="564" ht="15.75" customHeight="1">
      <c r="AK564" s="2"/>
    </row>
    <row r="565" ht="15.75" customHeight="1">
      <c r="AK565" s="2"/>
    </row>
    <row r="566" ht="15.75" customHeight="1">
      <c r="AK566" s="2"/>
    </row>
    <row r="567" ht="15.75" customHeight="1">
      <c r="AK567" s="2"/>
    </row>
    <row r="568" ht="15.75" customHeight="1">
      <c r="AK568" s="2"/>
    </row>
    <row r="569" ht="15.75" customHeight="1">
      <c r="AK569" s="2"/>
    </row>
    <row r="570" ht="15.75" customHeight="1">
      <c r="AK570" s="2"/>
    </row>
    <row r="571" ht="15.75" customHeight="1">
      <c r="AK571" s="2"/>
    </row>
    <row r="572" ht="15.75" customHeight="1">
      <c r="AK572" s="2"/>
    </row>
    <row r="573" ht="15.75" customHeight="1">
      <c r="AK573" s="2"/>
    </row>
    <row r="574" ht="15.75" customHeight="1">
      <c r="AK574" s="2"/>
    </row>
    <row r="575" ht="15.75" customHeight="1">
      <c r="AK575" s="2"/>
    </row>
    <row r="576" ht="15.75" customHeight="1">
      <c r="AK576" s="2"/>
    </row>
    <row r="577" ht="15.75" customHeight="1">
      <c r="AK577" s="2"/>
    </row>
    <row r="578" ht="15.75" customHeight="1">
      <c r="AK578" s="2"/>
    </row>
    <row r="579" ht="15.75" customHeight="1">
      <c r="AK579" s="2"/>
    </row>
    <row r="580" ht="15.75" customHeight="1">
      <c r="AK580" s="2"/>
    </row>
    <row r="581" ht="15.75" customHeight="1">
      <c r="AK581" s="2"/>
    </row>
    <row r="582" ht="15.75" customHeight="1">
      <c r="AK582" s="2"/>
    </row>
    <row r="583" ht="15.75" customHeight="1">
      <c r="AK583" s="2"/>
    </row>
    <row r="584" ht="15.75" customHeight="1">
      <c r="AK584" s="2"/>
    </row>
    <row r="585" ht="15.75" customHeight="1">
      <c r="AK585" s="2"/>
    </row>
    <row r="586" ht="15.75" customHeight="1">
      <c r="AK586" s="2"/>
    </row>
    <row r="587" ht="15.75" customHeight="1">
      <c r="AK587" s="2"/>
    </row>
    <row r="588" ht="15.75" customHeight="1">
      <c r="AK588" s="2"/>
    </row>
    <row r="589" ht="15.75" customHeight="1">
      <c r="AK589" s="2"/>
    </row>
    <row r="590" ht="15.75" customHeight="1">
      <c r="AK590" s="2"/>
    </row>
    <row r="591" ht="15.75" customHeight="1">
      <c r="AK591" s="2"/>
    </row>
    <row r="592" ht="15.75" customHeight="1">
      <c r="AK592" s="2"/>
    </row>
    <row r="593" ht="15.75" customHeight="1">
      <c r="AK593" s="2"/>
    </row>
    <row r="594" ht="15.75" customHeight="1">
      <c r="AK594" s="2"/>
    </row>
    <row r="595" ht="15.75" customHeight="1">
      <c r="AK595" s="2"/>
    </row>
    <row r="596" ht="15.75" customHeight="1">
      <c r="AK596" s="2"/>
    </row>
    <row r="597" ht="15.75" customHeight="1">
      <c r="AK597" s="2"/>
    </row>
    <row r="598" ht="15.75" customHeight="1">
      <c r="AK598" s="2"/>
    </row>
    <row r="599" ht="15.75" customHeight="1">
      <c r="AK599" s="2"/>
    </row>
    <row r="600" ht="15.75" customHeight="1">
      <c r="AK600" s="2"/>
    </row>
    <row r="601" ht="15.75" customHeight="1">
      <c r="AK601" s="2"/>
    </row>
    <row r="602" ht="15.75" customHeight="1">
      <c r="AK602" s="2"/>
    </row>
    <row r="603" ht="15.75" customHeight="1">
      <c r="AK603" s="2"/>
    </row>
    <row r="604" ht="15.75" customHeight="1">
      <c r="AK604" s="2"/>
    </row>
    <row r="605" ht="15.75" customHeight="1">
      <c r="AK605" s="2"/>
    </row>
    <row r="606" ht="15.75" customHeight="1">
      <c r="AK606" s="2"/>
    </row>
    <row r="607" ht="15.75" customHeight="1">
      <c r="AK607" s="2"/>
    </row>
    <row r="608" ht="15.75" customHeight="1">
      <c r="AK608" s="2"/>
    </row>
    <row r="609" ht="15.75" customHeight="1">
      <c r="AK609" s="2"/>
    </row>
    <row r="610" ht="15.75" customHeight="1">
      <c r="AK610" s="2"/>
    </row>
    <row r="611" ht="15.75" customHeight="1">
      <c r="AK611" s="2"/>
    </row>
    <row r="612" ht="15.75" customHeight="1">
      <c r="AK612" s="2"/>
    </row>
    <row r="613" ht="15.75" customHeight="1">
      <c r="AK613" s="2"/>
    </row>
    <row r="614" ht="15.75" customHeight="1">
      <c r="AK614" s="2"/>
    </row>
    <row r="615" ht="15.75" customHeight="1">
      <c r="AK615" s="2"/>
    </row>
    <row r="616" ht="15.75" customHeight="1">
      <c r="AK616" s="2"/>
    </row>
    <row r="617" ht="15.75" customHeight="1">
      <c r="AK617" s="2"/>
    </row>
    <row r="618" ht="15.75" customHeight="1">
      <c r="AK618" s="2"/>
    </row>
    <row r="619" ht="15.75" customHeight="1">
      <c r="AK619" s="2"/>
    </row>
    <row r="620" ht="15.75" customHeight="1">
      <c r="AK620" s="2"/>
    </row>
    <row r="621" ht="15.75" customHeight="1">
      <c r="AK621" s="2"/>
    </row>
    <row r="622" ht="15.75" customHeight="1">
      <c r="AK622" s="2"/>
    </row>
    <row r="623" ht="15.75" customHeight="1">
      <c r="AK623" s="2"/>
    </row>
    <row r="624" ht="15.75" customHeight="1">
      <c r="AK624" s="2"/>
    </row>
    <row r="625" ht="15.75" customHeight="1">
      <c r="AK625" s="2"/>
    </row>
    <row r="626" ht="15.75" customHeight="1">
      <c r="AK626" s="2"/>
    </row>
    <row r="627" ht="15.75" customHeight="1">
      <c r="AK627" s="2"/>
    </row>
    <row r="628" ht="15.75" customHeight="1">
      <c r="AK628" s="2"/>
    </row>
    <row r="629" ht="15.75" customHeight="1">
      <c r="AK629" s="2"/>
    </row>
    <row r="630" ht="15.75" customHeight="1">
      <c r="AK630" s="2"/>
    </row>
    <row r="631" ht="15.75" customHeight="1">
      <c r="AK631" s="2"/>
    </row>
    <row r="632" ht="15.75" customHeight="1">
      <c r="AK632" s="2"/>
    </row>
    <row r="633" ht="15.75" customHeight="1">
      <c r="AK633" s="2"/>
    </row>
    <row r="634" ht="15.75" customHeight="1">
      <c r="AK634" s="2"/>
    </row>
    <row r="635" ht="15.75" customHeight="1">
      <c r="AK635" s="2"/>
    </row>
    <row r="636" ht="15.75" customHeight="1">
      <c r="AK636" s="2"/>
    </row>
    <row r="637" ht="15.75" customHeight="1">
      <c r="AK637" s="2"/>
    </row>
    <row r="638" ht="15.75" customHeight="1">
      <c r="AK638" s="2"/>
    </row>
    <row r="639" ht="15.75" customHeight="1">
      <c r="AK639" s="2"/>
    </row>
    <row r="640" ht="15.75" customHeight="1">
      <c r="AK640" s="2"/>
    </row>
    <row r="641" ht="15.75" customHeight="1">
      <c r="AK641" s="2"/>
    </row>
    <row r="642" ht="15.75" customHeight="1">
      <c r="AK642" s="2"/>
    </row>
    <row r="643" ht="15.75" customHeight="1">
      <c r="AK643" s="2"/>
    </row>
    <row r="644" ht="15.75" customHeight="1">
      <c r="AK644" s="2"/>
    </row>
    <row r="645" ht="15.75" customHeight="1">
      <c r="AK645" s="2"/>
    </row>
    <row r="646" ht="15.75" customHeight="1">
      <c r="AK646" s="2"/>
    </row>
    <row r="647" ht="15.75" customHeight="1">
      <c r="AK647" s="2"/>
    </row>
    <row r="648" ht="15.75" customHeight="1">
      <c r="AK648" s="2"/>
    </row>
    <row r="649" ht="15.75" customHeight="1">
      <c r="AK649" s="2"/>
    </row>
    <row r="650" ht="15.75" customHeight="1">
      <c r="AK650" s="2"/>
    </row>
    <row r="651" ht="15.75" customHeight="1">
      <c r="AK651" s="2"/>
    </row>
    <row r="652" ht="15.75" customHeight="1">
      <c r="AK652" s="2"/>
    </row>
    <row r="653" ht="15.75" customHeight="1">
      <c r="AK653" s="2"/>
    </row>
    <row r="654" ht="15.75" customHeight="1">
      <c r="AK654" s="2"/>
    </row>
    <row r="655" ht="15.75" customHeight="1">
      <c r="AK655" s="2"/>
    </row>
    <row r="656" ht="15.75" customHeight="1">
      <c r="AK656" s="2"/>
    </row>
    <row r="657" ht="15.75" customHeight="1">
      <c r="AK657" s="2"/>
    </row>
    <row r="658" ht="15.75" customHeight="1">
      <c r="AK658" s="2"/>
    </row>
    <row r="659" ht="15.75" customHeight="1">
      <c r="AK659" s="2"/>
    </row>
    <row r="660" ht="15.75" customHeight="1">
      <c r="AK660" s="2"/>
    </row>
    <row r="661" ht="15.75" customHeight="1">
      <c r="AK661" s="2"/>
    </row>
    <row r="662" ht="15.75" customHeight="1">
      <c r="AK662" s="2"/>
    </row>
    <row r="663" ht="15.75" customHeight="1">
      <c r="AK663" s="2"/>
    </row>
    <row r="664" ht="15.75" customHeight="1">
      <c r="AK664" s="2"/>
    </row>
    <row r="665" ht="15.75" customHeight="1">
      <c r="AK665" s="2"/>
    </row>
    <row r="666" ht="15.75" customHeight="1">
      <c r="AK666" s="2"/>
    </row>
    <row r="667" ht="15.75" customHeight="1">
      <c r="AK667" s="2"/>
    </row>
    <row r="668" ht="15.75" customHeight="1">
      <c r="AK668" s="2"/>
    </row>
    <row r="669" ht="15.75" customHeight="1">
      <c r="AK669" s="2"/>
    </row>
    <row r="670" ht="15.75" customHeight="1">
      <c r="AK670" s="2"/>
    </row>
    <row r="671" ht="15.75" customHeight="1">
      <c r="AK671" s="2"/>
    </row>
    <row r="672" ht="15.75" customHeight="1">
      <c r="AK672" s="2"/>
    </row>
    <row r="673" ht="15.75" customHeight="1">
      <c r="AK673" s="2"/>
    </row>
    <row r="674" ht="15.75" customHeight="1">
      <c r="AK674" s="2"/>
    </row>
    <row r="675" ht="15.75" customHeight="1">
      <c r="AK675" s="2"/>
    </row>
    <row r="676" ht="15.75" customHeight="1">
      <c r="AK676" s="2"/>
    </row>
    <row r="677" ht="15.75" customHeight="1">
      <c r="AK677" s="2"/>
    </row>
    <row r="678" ht="15.75" customHeight="1">
      <c r="AK678" s="2"/>
    </row>
    <row r="679" ht="15.75" customHeight="1">
      <c r="AK679" s="2"/>
    </row>
    <row r="680" ht="15.75" customHeight="1">
      <c r="AK680" s="2"/>
    </row>
    <row r="681" ht="15.75" customHeight="1">
      <c r="AK681" s="2"/>
    </row>
    <row r="682" ht="15.75" customHeight="1">
      <c r="AK682" s="2"/>
    </row>
    <row r="683" ht="15.75" customHeight="1">
      <c r="AK683" s="2"/>
    </row>
    <row r="684" ht="15.75" customHeight="1">
      <c r="AK684" s="2"/>
    </row>
    <row r="685" ht="15.75" customHeight="1">
      <c r="AK685" s="2"/>
    </row>
    <row r="686" ht="15.75" customHeight="1">
      <c r="AK686" s="2"/>
    </row>
    <row r="687" ht="15.75" customHeight="1">
      <c r="AK687" s="2"/>
    </row>
    <row r="688" ht="15.75" customHeight="1">
      <c r="AK688" s="2"/>
    </row>
    <row r="689" ht="15.75" customHeight="1">
      <c r="AK689" s="2"/>
    </row>
    <row r="690" ht="15.75" customHeight="1">
      <c r="AK690" s="2"/>
    </row>
    <row r="691" ht="15.75" customHeight="1">
      <c r="AK691" s="2"/>
    </row>
    <row r="692" ht="15.75" customHeight="1">
      <c r="AK692" s="2"/>
    </row>
    <row r="693" ht="15.75" customHeight="1">
      <c r="AK693" s="2"/>
    </row>
    <row r="694" ht="15.75" customHeight="1">
      <c r="AK694" s="2"/>
    </row>
    <row r="695" ht="15.75" customHeight="1">
      <c r="AK695" s="2"/>
    </row>
    <row r="696" ht="15.75" customHeight="1">
      <c r="AK696" s="2"/>
    </row>
    <row r="697" ht="15.75" customHeight="1">
      <c r="AK697" s="2"/>
    </row>
    <row r="698" ht="15.75" customHeight="1">
      <c r="AK698" s="2"/>
    </row>
    <row r="699" ht="15.75" customHeight="1">
      <c r="AK699" s="2"/>
    </row>
    <row r="700" ht="15.75" customHeight="1">
      <c r="AK700" s="2"/>
    </row>
    <row r="701" ht="15.75" customHeight="1">
      <c r="AK701" s="2"/>
    </row>
    <row r="702" ht="15.75" customHeight="1">
      <c r="AK702" s="2"/>
    </row>
    <row r="703" ht="15.75" customHeight="1">
      <c r="AK703" s="2"/>
    </row>
    <row r="704" ht="15.75" customHeight="1">
      <c r="AK704" s="2"/>
    </row>
    <row r="705" ht="15.75" customHeight="1">
      <c r="AK705" s="2"/>
    </row>
    <row r="706" ht="15.75" customHeight="1">
      <c r="AK706" s="2"/>
    </row>
    <row r="707" ht="15.75" customHeight="1">
      <c r="AK707" s="2"/>
    </row>
    <row r="708" ht="15.75" customHeight="1">
      <c r="AK708" s="2"/>
    </row>
    <row r="709" ht="15.75" customHeight="1">
      <c r="AK709" s="2"/>
    </row>
    <row r="710" ht="15.75" customHeight="1">
      <c r="AK710" s="2"/>
    </row>
    <row r="711" ht="15.75" customHeight="1">
      <c r="AK711" s="2"/>
    </row>
    <row r="712" ht="15.75" customHeight="1">
      <c r="AK712" s="2"/>
    </row>
    <row r="713" ht="15.75" customHeight="1">
      <c r="AK713" s="2"/>
    </row>
    <row r="714" ht="15.75" customHeight="1">
      <c r="AK714" s="2"/>
    </row>
    <row r="715" ht="15.75" customHeight="1">
      <c r="AK715" s="2"/>
    </row>
    <row r="716" ht="15.75" customHeight="1">
      <c r="AK716" s="2"/>
    </row>
    <row r="717" ht="15.75" customHeight="1">
      <c r="AK717" s="2"/>
    </row>
    <row r="718" ht="15.75" customHeight="1">
      <c r="AK718" s="2"/>
    </row>
    <row r="719" ht="15.75" customHeight="1">
      <c r="AK719" s="2"/>
    </row>
    <row r="720" ht="15.75" customHeight="1">
      <c r="AK720" s="2"/>
    </row>
    <row r="721" ht="15.75" customHeight="1">
      <c r="AK721" s="2"/>
    </row>
    <row r="722" ht="15.75" customHeight="1">
      <c r="AK722" s="2"/>
    </row>
    <row r="723" ht="15.75" customHeight="1">
      <c r="AK723" s="2"/>
    </row>
    <row r="724" ht="15.75" customHeight="1">
      <c r="AK724" s="2"/>
    </row>
    <row r="725" ht="15.75" customHeight="1">
      <c r="AK725" s="2"/>
    </row>
    <row r="726" ht="15.75" customHeight="1">
      <c r="AK726" s="2"/>
    </row>
    <row r="727" ht="15.75" customHeight="1">
      <c r="AK727" s="2"/>
    </row>
    <row r="728" ht="15.75" customHeight="1">
      <c r="AK728" s="2"/>
    </row>
    <row r="729" ht="15.75" customHeight="1">
      <c r="AK729" s="2"/>
    </row>
    <row r="730" ht="15.75" customHeight="1">
      <c r="AK730" s="2"/>
    </row>
    <row r="731" ht="15.75" customHeight="1">
      <c r="AK731" s="2"/>
    </row>
    <row r="732" ht="15.75" customHeight="1">
      <c r="AK732" s="2"/>
    </row>
    <row r="733" ht="15.75" customHeight="1">
      <c r="AK733" s="2"/>
    </row>
    <row r="734" ht="15.75" customHeight="1">
      <c r="AK734" s="2"/>
    </row>
    <row r="735" ht="15.75" customHeight="1">
      <c r="AK735" s="2"/>
    </row>
    <row r="736" ht="15.75" customHeight="1">
      <c r="AK736" s="2"/>
    </row>
    <row r="737" ht="15.75" customHeight="1">
      <c r="AK737" s="2"/>
    </row>
    <row r="738" ht="15.75" customHeight="1">
      <c r="AK738" s="2"/>
    </row>
    <row r="739" ht="15.75" customHeight="1">
      <c r="AK739" s="2"/>
    </row>
    <row r="740" ht="15.75" customHeight="1">
      <c r="AK740" s="2"/>
    </row>
    <row r="741" ht="15.75" customHeight="1">
      <c r="AK741" s="2"/>
    </row>
    <row r="742" ht="15.75" customHeight="1">
      <c r="AK742" s="2"/>
    </row>
    <row r="743" ht="15.75" customHeight="1">
      <c r="AK743" s="2"/>
    </row>
    <row r="744" ht="15.75" customHeight="1">
      <c r="AK744" s="2"/>
    </row>
    <row r="745" ht="15.75" customHeight="1">
      <c r="AK745" s="2"/>
    </row>
    <row r="746" ht="15.75" customHeight="1">
      <c r="AK746" s="2"/>
    </row>
    <row r="747" ht="15.75" customHeight="1">
      <c r="AK747" s="2"/>
    </row>
    <row r="748" ht="15.75" customHeight="1">
      <c r="AK748" s="2"/>
    </row>
    <row r="749" ht="15.75" customHeight="1">
      <c r="AK749" s="2"/>
    </row>
    <row r="750" ht="15.75" customHeight="1">
      <c r="AK750" s="2"/>
    </row>
    <row r="751" ht="15.75" customHeight="1">
      <c r="AK751" s="2"/>
    </row>
    <row r="752" ht="15.75" customHeight="1">
      <c r="AK752" s="2"/>
    </row>
    <row r="753" ht="15.75" customHeight="1">
      <c r="AK753" s="2"/>
    </row>
    <row r="754" ht="15.75" customHeight="1">
      <c r="AK754" s="2"/>
    </row>
    <row r="755" ht="15.75" customHeight="1">
      <c r="AK755" s="2"/>
    </row>
    <row r="756" ht="15.75" customHeight="1">
      <c r="AK756" s="2"/>
    </row>
    <row r="757" ht="15.75" customHeight="1">
      <c r="AK757" s="2"/>
    </row>
    <row r="758" ht="15.75" customHeight="1">
      <c r="AK758" s="2"/>
    </row>
    <row r="759" ht="15.75" customHeight="1">
      <c r="AK759" s="2"/>
    </row>
    <row r="760" ht="15.75" customHeight="1">
      <c r="AK760" s="2"/>
    </row>
    <row r="761" ht="15.75" customHeight="1">
      <c r="AK761" s="2"/>
    </row>
    <row r="762" ht="15.75" customHeight="1">
      <c r="AK762" s="2"/>
    </row>
    <row r="763" ht="15.75" customHeight="1">
      <c r="AK763" s="2"/>
    </row>
    <row r="764" ht="15.75" customHeight="1">
      <c r="AK764" s="2"/>
    </row>
    <row r="765" ht="15.75" customHeight="1">
      <c r="AK765" s="2"/>
    </row>
    <row r="766" ht="15.75" customHeight="1">
      <c r="AK766" s="2"/>
    </row>
    <row r="767" ht="15.75" customHeight="1">
      <c r="AK767" s="2"/>
    </row>
    <row r="768" ht="15.75" customHeight="1">
      <c r="AK768" s="2"/>
    </row>
    <row r="769" ht="15.75" customHeight="1">
      <c r="AK769" s="2"/>
    </row>
    <row r="770" ht="15.75" customHeight="1">
      <c r="AK770" s="2"/>
    </row>
    <row r="771" ht="15.75" customHeight="1">
      <c r="AK771" s="2"/>
    </row>
    <row r="772" ht="15.75" customHeight="1">
      <c r="AK772" s="2"/>
    </row>
    <row r="773" ht="15.75" customHeight="1">
      <c r="AK773" s="2"/>
    </row>
    <row r="774" ht="15.75" customHeight="1">
      <c r="AK774" s="2"/>
    </row>
    <row r="775" ht="15.75" customHeight="1">
      <c r="AK775" s="2"/>
    </row>
    <row r="776" ht="15.75" customHeight="1">
      <c r="AK776" s="2"/>
    </row>
    <row r="777" ht="15.75" customHeight="1">
      <c r="AK777" s="2"/>
    </row>
    <row r="778" ht="15.75" customHeight="1">
      <c r="AK778" s="2"/>
    </row>
    <row r="779" ht="15.75" customHeight="1">
      <c r="AK779" s="2"/>
    </row>
    <row r="780" ht="15.75" customHeight="1">
      <c r="AK780" s="2"/>
    </row>
    <row r="781" ht="15.75" customHeight="1">
      <c r="AK781" s="2"/>
    </row>
    <row r="782" ht="15.75" customHeight="1">
      <c r="AK782" s="2"/>
    </row>
    <row r="783" ht="15.75" customHeight="1">
      <c r="AK783" s="2"/>
    </row>
    <row r="784" ht="15.75" customHeight="1">
      <c r="AK784" s="2"/>
    </row>
    <row r="785" ht="15.75" customHeight="1">
      <c r="AK785" s="2"/>
    </row>
    <row r="786" ht="15.75" customHeight="1">
      <c r="AK786" s="2"/>
    </row>
    <row r="787" ht="15.75" customHeight="1">
      <c r="AK787" s="2"/>
    </row>
    <row r="788" ht="15.75" customHeight="1">
      <c r="AK788" s="2"/>
    </row>
    <row r="789" ht="15.75" customHeight="1">
      <c r="AK789" s="2"/>
    </row>
    <row r="790" ht="15.75" customHeight="1">
      <c r="AK790" s="2"/>
    </row>
    <row r="791" ht="15.75" customHeight="1">
      <c r="AK791" s="2"/>
    </row>
    <row r="792" ht="15.75" customHeight="1">
      <c r="AK792" s="2"/>
    </row>
    <row r="793" ht="15.75" customHeight="1">
      <c r="AK793" s="2"/>
    </row>
    <row r="794" ht="15.75" customHeight="1">
      <c r="AK794" s="2"/>
    </row>
    <row r="795" ht="15.75" customHeight="1">
      <c r="AK795" s="2"/>
    </row>
    <row r="796" ht="15.75" customHeight="1">
      <c r="AK796" s="2"/>
    </row>
    <row r="797" ht="15.75" customHeight="1">
      <c r="AK797" s="2"/>
    </row>
    <row r="798" ht="15.75" customHeight="1">
      <c r="AK798" s="2"/>
    </row>
    <row r="799" ht="15.75" customHeight="1">
      <c r="AK799" s="2"/>
    </row>
    <row r="800" ht="15.75" customHeight="1">
      <c r="AK800" s="2"/>
    </row>
    <row r="801" ht="15.75" customHeight="1">
      <c r="AK801" s="2"/>
    </row>
    <row r="802" ht="15.75" customHeight="1">
      <c r="AK802" s="2"/>
    </row>
    <row r="803" ht="15.75" customHeight="1">
      <c r="AK803" s="2"/>
    </row>
    <row r="804" ht="15.75" customHeight="1">
      <c r="AK804" s="2"/>
    </row>
    <row r="805" ht="15.75" customHeight="1">
      <c r="AK805" s="2"/>
    </row>
    <row r="806" ht="15.75" customHeight="1">
      <c r="AK806" s="2"/>
    </row>
    <row r="807" ht="15.75" customHeight="1">
      <c r="AK807" s="2"/>
    </row>
    <row r="808" ht="15.75" customHeight="1">
      <c r="AK808" s="2"/>
    </row>
    <row r="809" ht="15.75" customHeight="1">
      <c r="AK809" s="2"/>
    </row>
    <row r="810" ht="15.75" customHeight="1">
      <c r="AK810" s="2"/>
    </row>
    <row r="811" ht="15.75" customHeight="1">
      <c r="AK811" s="2"/>
    </row>
    <row r="812" ht="15.75" customHeight="1">
      <c r="AK812" s="2"/>
    </row>
    <row r="813" ht="15.75" customHeight="1">
      <c r="AK813" s="2"/>
    </row>
    <row r="814" ht="15.75" customHeight="1">
      <c r="AK814" s="2"/>
    </row>
    <row r="815" ht="15.75" customHeight="1">
      <c r="AK815" s="2"/>
    </row>
    <row r="816" ht="15.75" customHeight="1">
      <c r="AK816" s="2"/>
    </row>
    <row r="817" ht="15.75" customHeight="1">
      <c r="AK817" s="2"/>
    </row>
    <row r="818" ht="15.75" customHeight="1">
      <c r="AK818" s="2"/>
    </row>
    <row r="819" ht="15.75" customHeight="1">
      <c r="AK819" s="2"/>
    </row>
    <row r="820" ht="15.75" customHeight="1">
      <c r="AK820" s="2"/>
    </row>
    <row r="821" ht="15.75" customHeight="1">
      <c r="AK821" s="2"/>
    </row>
    <row r="822" ht="15.75" customHeight="1">
      <c r="AK822" s="2"/>
    </row>
    <row r="823" ht="15.75" customHeight="1">
      <c r="AK823" s="2"/>
    </row>
    <row r="824" ht="15.75" customHeight="1">
      <c r="AK824" s="2"/>
    </row>
    <row r="825" ht="15.75" customHeight="1">
      <c r="AK825" s="2"/>
    </row>
    <row r="826" ht="15.75" customHeight="1">
      <c r="AK826" s="2"/>
    </row>
    <row r="827" ht="15.75" customHeight="1">
      <c r="AK827" s="2"/>
    </row>
    <row r="828" ht="15.75" customHeight="1">
      <c r="AK828" s="2"/>
    </row>
    <row r="829" ht="15.75" customHeight="1">
      <c r="AK829" s="2"/>
    </row>
    <row r="830" ht="15.75" customHeight="1">
      <c r="AK830" s="2"/>
    </row>
    <row r="831" ht="15.75" customHeight="1">
      <c r="AK831" s="2"/>
    </row>
    <row r="832" ht="15.75" customHeight="1">
      <c r="AK832" s="2"/>
    </row>
    <row r="833" ht="15.75" customHeight="1">
      <c r="AK833" s="2"/>
    </row>
    <row r="834" ht="15.75" customHeight="1">
      <c r="AK834" s="2"/>
    </row>
    <row r="835" ht="15.75" customHeight="1">
      <c r="AK835" s="2"/>
    </row>
    <row r="836" ht="15.75" customHeight="1">
      <c r="AK836" s="2"/>
    </row>
    <row r="837" ht="15.75" customHeight="1">
      <c r="AK837" s="2"/>
    </row>
    <row r="838" ht="15.75" customHeight="1">
      <c r="AK838" s="2"/>
    </row>
    <row r="839" ht="15.75" customHeight="1">
      <c r="AK839" s="2"/>
    </row>
    <row r="840" ht="15.75" customHeight="1">
      <c r="AK840" s="2"/>
    </row>
    <row r="841" ht="15.75" customHeight="1">
      <c r="AK841" s="2"/>
    </row>
    <row r="842" ht="15.75" customHeight="1">
      <c r="AK842" s="2"/>
    </row>
    <row r="843" ht="15.75" customHeight="1">
      <c r="AK843" s="2"/>
    </row>
    <row r="844" ht="15.75" customHeight="1">
      <c r="AK844" s="2"/>
    </row>
    <row r="845" ht="15.75" customHeight="1">
      <c r="AK845" s="2"/>
    </row>
    <row r="846" ht="15.75" customHeight="1">
      <c r="AK846" s="2"/>
    </row>
    <row r="847" ht="15.75" customHeight="1">
      <c r="AK847" s="2"/>
    </row>
    <row r="848" ht="15.75" customHeight="1">
      <c r="AK848" s="2"/>
    </row>
    <row r="849" ht="15.75" customHeight="1">
      <c r="AK849" s="2"/>
    </row>
    <row r="850" ht="15.75" customHeight="1">
      <c r="AK850" s="2"/>
    </row>
    <row r="851" ht="15.75" customHeight="1">
      <c r="AK851" s="2"/>
    </row>
    <row r="852" ht="15.75" customHeight="1">
      <c r="AK852" s="2"/>
    </row>
    <row r="853" ht="15.75" customHeight="1">
      <c r="AK853" s="2"/>
    </row>
    <row r="854" ht="15.75" customHeight="1">
      <c r="AK854" s="2"/>
    </row>
    <row r="855" ht="15.75" customHeight="1">
      <c r="AK855" s="2"/>
    </row>
    <row r="856" ht="15.75" customHeight="1">
      <c r="AK856" s="2"/>
    </row>
    <row r="857" ht="15.75" customHeight="1">
      <c r="AK857" s="2"/>
    </row>
    <row r="858" ht="15.75" customHeight="1">
      <c r="AK858" s="2"/>
    </row>
    <row r="859" ht="15.75" customHeight="1">
      <c r="AK859" s="2"/>
    </row>
    <row r="860" ht="15.75" customHeight="1">
      <c r="AK860" s="2"/>
    </row>
    <row r="861" ht="15.75" customHeight="1">
      <c r="AK861" s="2"/>
    </row>
    <row r="862" ht="15.75" customHeight="1">
      <c r="AK862" s="2"/>
    </row>
    <row r="863" ht="15.75" customHeight="1">
      <c r="AK863" s="2"/>
    </row>
    <row r="864" ht="15.75" customHeight="1">
      <c r="AK864" s="2"/>
    </row>
    <row r="865" ht="15.75" customHeight="1">
      <c r="AK865" s="2"/>
    </row>
    <row r="866" ht="15.75" customHeight="1">
      <c r="AK866" s="2"/>
    </row>
    <row r="867" ht="15.75" customHeight="1">
      <c r="AK867" s="2"/>
    </row>
    <row r="868" ht="15.75" customHeight="1">
      <c r="AK868" s="2"/>
    </row>
    <row r="869" ht="15.75" customHeight="1">
      <c r="AK869" s="2"/>
    </row>
    <row r="870" ht="15.75" customHeight="1">
      <c r="AK870" s="2"/>
    </row>
    <row r="871" ht="15.75" customHeight="1">
      <c r="AK871" s="2"/>
    </row>
    <row r="872" ht="15.75" customHeight="1">
      <c r="AK872" s="2"/>
    </row>
    <row r="873" ht="15.75" customHeight="1">
      <c r="AK873" s="2"/>
    </row>
    <row r="874" ht="15.75" customHeight="1">
      <c r="AK874" s="2"/>
    </row>
    <row r="875" ht="15.75" customHeight="1">
      <c r="AK875" s="2"/>
    </row>
    <row r="876" ht="15.75" customHeight="1">
      <c r="AK876" s="2"/>
    </row>
    <row r="877" ht="15.75" customHeight="1">
      <c r="AK877" s="2"/>
    </row>
    <row r="878" ht="15.75" customHeight="1">
      <c r="AK878" s="2"/>
    </row>
    <row r="879" ht="15.75" customHeight="1">
      <c r="AK879" s="2"/>
    </row>
    <row r="880" ht="15.75" customHeight="1">
      <c r="AK880" s="2"/>
    </row>
    <row r="881" ht="15.75" customHeight="1">
      <c r="AK881" s="2"/>
    </row>
    <row r="882" ht="15.75" customHeight="1">
      <c r="AK882" s="2"/>
    </row>
    <row r="883" ht="15.75" customHeight="1">
      <c r="AK883" s="2"/>
    </row>
    <row r="884" ht="15.75" customHeight="1">
      <c r="AK884" s="2"/>
    </row>
    <row r="885" ht="15.75" customHeight="1">
      <c r="AK885" s="2"/>
    </row>
    <row r="886" ht="15.75" customHeight="1">
      <c r="AK886" s="2"/>
    </row>
    <row r="887" ht="15.75" customHeight="1">
      <c r="AK887" s="2"/>
    </row>
    <row r="888" ht="15.75" customHeight="1">
      <c r="AK888" s="2"/>
    </row>
    <row r="889" ht="15.75" customHeight="1">
      <c r="AK889" s="2"/>
    </row>
    <row r="890" ht="15.75" customHeight="1">
      <c r="AK890" s="2"/>
    </row>
    <row r="891" ht="15.75" customHeight="1">
      <c r="AK891" s="2"/>
    </row>
    <row r="892" ht="15.75" customHeight="1">
      <c r="AK892" s="2"/>
    </row>
    <row r="893" ht="15.75" customHeight="1">
      <c r="AK893" s="2"/>
    </row>
    <row r="894" ht="15.75" customHeight="1">
      <c r="AK894" s="2"/>
    </row>
    <row r="895" ht="15.75" customHeight="1">
      <c r="AK895" s="2"/>
    </row>
    <row r="896" ht="15.75" customHeight="1">
      <c r="AK896" s="2"/>
    </row>
    <row r="897" ht="15.75" customHeight="1">
      <c r="AK897" s="2"/>
    </row>
    <row r="898" ht="15.75" customHeight="1">
      <c r="AK898" s="2"/>
    </row>
    <row r="899" ht="15.75" customHeight="1">
      <c r="AK899" s="2"/>
    </row>
    <row r="900" ht="15.75" customHeight="1">
      <c r="AK900" s="2"/>
    </row>
    <row r="901" ht="15.75" customHeight="1">
      <c r="AK901" s="2"/>
    </row>
    <row r="902" ht="15.75" customHeight="1">
      <c r="AK902" s="2"/>
    </row>
    <row r="903" ht="15.75" customHeight="1">
      <c r="AK903" s="2"/>
    </row>
    <row r="904" ht="15.75" customHeight="1">
      <c r="AK904" s="2"/>
    </row>
    <row r="905" ht="15.75" customHeight="1">
      <c r="AK905" s="2"/>
    </row>
    <row r="906" ht="15.75" customHeight="1">
      <c r="AK906" s="2"/>
    </row>
    <row r="907" ht="15.75" customHeight="1">
      <c r="AK907" s="2"/>
    </row>
    <row r="908" ht="15.75" customHeight="1">
      <c r="AK908" s="2"/>
    </row>
    <row r="909" ht="15.75" customHeight="1">
      <c r="AK909" s="2"/>
    </row>
    <row r="910" ht="15.75" customHeight="1">
      <c r="AK910" s="2"/>
    </row>
    <row r="911" ht="15.75" customHeight="1">
      <c r="AK911" s="2"/>
    </row>
    <row r="912" ht="15.75" customHeight="1">
      <c r="AK912" s="2"/>
    </row>
    <row r="913" ht="15.75" customHeight="1">
      <c r="AK913" s="2"/>
    </row>
    <row r="914" ht="15.75" customHeight="1">
      <c r="AK914" s="2"/>
    </row>
    <row r="915" ht="15.75" customHeight="1">
      <c r="AK915" s="2"/>
    </row>
    <row r="916" ht="15.75" customHeight="1">
      <c r="AK916" s="2"/>
    </row>
    <row r="917" ht="15.75" customHeight="1">
      <c r="AK917" s="2"/>
    </row>
    <row r="918" ht="15.75" customHeight="1">
      <c r="AK918" s="2"/>
    </row>
    <row r="919" ht="15.75" customHeight="1">
      <c r="AK919" s="2"/>
    </row>
    <row r="920" ht="15.75" customHeight="1">
      <c r="AK920" s="2"/>
    </row>
    <row r="921" ht="15.75" customHeight="1">
      <c r="AK921" s="2"/>
    </row>
    <row r="922" ht="15.75" customHeight="1">
      <c r="AK922" s="2"/>
    </row>
    <row r="923" ht="15.75" customHeight="1">
      <c r="AK923" s="2"/>
    </row>
    <row r="924" ht="15.75" customHeight="1">
      <c r="AK924" s="2"/>
    </row>
    <row r="925" ht="15.75" customHeight="1">
      <c r="AK925" s="2"/>
    </row>
    <row r="926" ht="15.75" customHeight="1">
      <c r="AK926" s="2"/>
    </row>
    <row r="927" ht="15.75" customHeight="1">
      <c r="AK927" s="2"/>
    </row>
    <row r="928" ht="15.75" customHeight="1">
      <c r="AK928" s="2"/>
    </row>
    <row r="929" ht="15.75" customHeight="1">
      <c r="AK929" s="2"/>
    </row>
    <row r="930" ht="15.75" customHeight="1">
      <c r="AK930" s="2"/>
    </row>
    <row r="931" ht="15.75" customHeight="1">
      <c r="AK931" s="2"/>
    </row>
    <row r="932" ht="15.75" customHeight="1">
      <c r="AK932" s="2"/>
    </row>
    <row r="933" ht="15.75" customHeight="1">
      <c r="AK933" s="2"/>
    </row>
    <row r="934" ht="15.75" customHeight="1">
      <c r="AK934" s="2"/>
    </row>
    <row r="935" ht="15.75" customHeight="1">
      <c r="AK935" s="2"/>
    </row>
    <row r="936" ht="15.75" customHeight="1">
      <c r="AK936" s="2"/>
    </row>
    <row r="937" ht="15.75" customHeight="1">
      <c r="AK937" s="2"/>
    </row>
    <row r="938" ht="15.75" customHeight="1">
      <c r="AK938" s="2"/>
    </row>
    <row r="939" ht="15.75" customHeight="1">
      <c r="AK939" s="2"/>
    </row>
    <row r="940" ht="15.75" customHeight="1">
      <c r="AK940" s="2"/>
    </row>
    <row r="941" ht="15.75" customHeight="1">
      <c r="AK941" s="2"/>
    </row>
    <row r="942" ht="15.75" customHeight="1">
      <c r="AK942" s="2"/>
    </row>
    <row r="943" ht="15.75" customHeight="1">
      <c r="AK943" s="2"/>
    </row>
    <row r="944" ht="15.75" customHeight="1">
      <c r="AK944" s="2"/>
    </row>
    <row r="945" ht="15.75" customHeight="1">
      <c r="AK945" s="2"/>
    </row>
    <row r="946" ht="15.75" customHeight="1">
      <c r="AK946" s="2"/>
    </row>
    <row r="947" ht="15.75" customHeight="1">
      <c r="AK947" s="2"/>
    </row>
    <row r="948" ht="15.75" customHeight="1">
      <c r="AK948" s="2"/>
    </row>
    <row r="949" ht="15.75" customHeight="1">
      <c r="AK949" s="2"/>
    </row>
    <row r="950" ht="15.75" customHeight="1">
      <c r="AK950" s="2"/>
    </row>
    <row r="951" ht="15.75" customHeight="1">
      <c r="AK951" s="2"/>
    </row>
    <row r="952" ht="15.75" customHeight="1">
      <c r="AK952" s="2"/>
    </row>
    <row r="953" ht="15.75" customHeight="1">
      <c r="AK953" s="2"/>
    </row>
    <row r="954" ht="15.75" customHeight="1">
      <c r="AK954" s="2"/>
    </row>
    <row r="955" ht="15.75" customHeight="1">
      <c r="AK955" s="2"/>
    </row>
    <row r="956" ht="15.75" customHeight="1">
      <c r="AK956" s="2"/>
    </row>
    <row r="957" ht="15.75" customHeight="1">
      <c r="AK957" s="2"/>
    </row>
    <row r="958" ht="15.75" customHeight="1">
      <c r="AK958" s="2"/>
    </row>
    <row r="959" ht="15.75" customHeight="1">
      <c r="AK959" s="2"/>
    </row>
    <row r="960" ht="15.75" customHeight="1">
      <c r="AK960" s="2"/>
    </row>
    <row r="961" ht="15.75" customHeight="1">
      <c r="AK961" s="2"/>
    </row>
    <row r="962" ht="15.75" customHeight="1">
      <c r="AK962" s="2"/>
    </row>
    <row r="963" ht="15.75" customHeight="1">
      <c r="AK963" s="2"/>
    </row>
    <row r="964" ht="15.75" customHeight="1">
      <c r="AK964" s="2"/>
    </row>
    <row r="965" ht="15.75" customHeight="1">
      <c r="AK965" s="2"/>
    </row>
    <row r="966" ht="15.75" customHeight="1">
      <c r="AK966" s="2"/>
    </row>
    <row r="967" ht="15.75" customHeight="1">
      <c r="AK967" s="2"/>
    </row>
    <row r="968" ht="15.75" customHeight="1">
      <c r="AK968" s="2"/>
    </row>
    <row r="969" ht="15.75" customHeight="1">
      <c r="AK969" s="2"/>
    </row>
    <row r="970" ht="15.75" customHeight="1">
      <c r="AK970" s="2"/>
    </row>
    <row r="971" ht="15.75" customHeight="1">
      <c r="AK971" s="2"/>
    </row>
    <row r="972" ht="15.75" customHeight="1">
      <c r="AK972" s="2"/>
    </row>
    <row r="973" ht="15.75" customHeight="1">
      <c r="AK973" s="2"/>
    </row>
    <row r="974" ht="15.75" customHeight="1">
      <c r="AK974" s="2"/>
    </row>
    <row r="975" ht="15.75" customHeight="1">
      <c r="AK975" s="2"/>
    </row>
    <row r="976" ht="15.75" customHeight="1">
      <c r="AK976" s="2"/>
    </row>
    <row r="977" ht="15.75" customHeight="1">
      <c r="AK977" s="2"/>
    </row>
    <row r="978" ht="15.75" customHeight="1">
      <c r="AK978" s="2"/>
    </row>
    <row r="979" ht="15.75" customHeight="1">
      <c r="AK979" s="2"/>
    </row>
    <row r="980" ht="15.75" customHeight="1">
      <c r="AK980" s="2"/>
    </row>
    <row r="981" ht="15.75" customHeight="1">
      <c r="AK981" s="2"/>
    </row>
    <row r="982" ht="15.75" customHeight="1">
      <c r="AK982" s="2"/>
    </row>
    <row r="983" ht="15.75" customHeight="1">
      <c r="AK983" s="2"/>
    </row>
    <row r="984" ht="15.75" customHeight="1">
      <c r="AK984" s="2"/>
    </row>
    <row r="985" ht="15.75" customHeight="1">
      <c r="AK985" s="2"/>
    </row>
    <row r="986" ht="15.75" customHeight="1">
      <c r="AK986" s="2"/>
    </row>
    <row r="987" ht="15.75" customHeight="1">
      <c r="AK987" s="2"/>
    </row>
    <row r="988" ht="15.75" customHeight="1">
      <c r="AK988" s="2"/>
    </row>
    <row r="989" ht="15.75" customHeight="1">
      <c r="AK989" s="2"/>
    </row>
    <row r="990" ht="15.75" customHeight="1">
      <c r="AK990" s="2"/>
    </row>
    <row r="991" ht="15.75" customHeight="1">
      <c r="AK991" s="2"/>
    </row>
    <row r="992" ht="15.75" customHeight="1">
      <c r="AK992" s="2"/>
    </row>
    <row r="993" ht="15.75" customHeight="1">
      <c r="AK993" s="2"/>
    </row>
    <row r="994" ht="15.75" customHeight="1">
      <c r="AK994" s="2"/>
    </row>
    <row r="995" ht="15.75" customHeight="1">
      <c r="AK995" s="2"/>
    </row>
    <row r="996" ht="15.75" customHeight="1">
      <c r="AK996" s="2"/>
    </row>
    <row r="997" ht="15.75" customHeight="1">
      <c r="AK997" s="2"/>
    </row>
    <row r="998" ht="15.75" customHeight="1">
      <c r="AK998" s="2"/>
    </row>
    <row r="999" ht="15.75" customHeight="1">
      <c r="AK999" s="2"/>
    </row>
    <row r="1000" ht="15.75" customHeight="1">
      <c r="AK1000" s="2"/>
    </row>
  </sheetData>
  <mergeCells count="58">
    <mergeCell ref="O27:R27"/>
    <mergeCell ref="S27:V27"/>
    <mergeCell ref="W27:Z27"/>
    <mergeCell ref="AA27:AD27"/>
    <mergeCell ref="AE27:AH27"/>
    <mergeCell ref="AI27:AJ27"/>
    <mergeCell ref="K21:L21"/>
    <mergeCell ref="M21:N21"/>
    <mergeCell ref="Q21:R21"/>
    <mergeCell ref="B25:V26"/>
    <mergeCell ref="C27:F27"/>
    <mergeCell ref="G27:J27"/>
    <mergeCell ref="K27:N27"/>
    <mergeCell ref="E6:F6"/>
    <mergeCell ref="J6:K6"/>
    <mergeCell ref="J8:K8"/>
    <mergeCell ref="C10:F10"/>
    <mergeCell ref="G10:H10"/>
    <mergeCell ref="I10:K10"/>
    <mergeCell ref="L10:M10"/>
    <mergeCell ref="C11:F11"/>
    <mergeCell ref="G11:H11"/>
    <mergeCell ref="I11:K11"/>
    <mergeCell ref="L11:M11"/>
    <mergeCell ref="G12:H12"/>
    <mergeCell ref="I12:K12"/>
    <mergeCell ref="L12:M12"/>
    <mergeCell ref="I14:K14"/>
    <mergeCell ref="L14:M14"/>
    <mergeCell ref="C12:F12"/>
    <mergeCell ref="C13:F13"/>
    <mergeCell ref="G13:H13"/>
    <mergeCell ref="I13:K13"/>
    <mergeCell ref="L13:M13"/>
    <mergeCell ref="C14:F14"/>
    <mergeCell ref="G14:H14"/>
    <mergeCell ref="C15:F15"/>
    <mergeCell ref="G15:H15"/>
    <mergeCell ref="I15:K15"/>
    <mergeCell ref="L15:M15"/>
    <mergeCell ref="G16:H16"/>
    <mergeCell ref="I16:K16"/>
    <mergeCell ref="L16:M16"/>
    <mergeCell ref="C16:F16"/>
    <mergeCell ref="C17:F17"/>
    <mergeCell ref="G17:H17"/>
    <mergeCell ref="I17:K17"/>
    <mergeCell ref="L17:M17"/>
    <mergeCell ref="C18:F18"/>
    <mergeCell ref="G18:H18"/>
    <mergeCell ref="I18:K18"/>
    <mergeCell ref="L18:M18"/>
    <mergeCell ref="B19:P20"/>
    <mergeCell ref="C21:D21"/>
    <mergeCell ref="E21:F21"/>
    <mergeCell ref="G21:H21"/>
    <mergeCell ref="I21:J21"/>
    <mergeCell ref="O21:P21"/>
  </mergeCells>
  <hyperlinks>
    <hyperlink r:id="rId2" ref="I44"/>
    <hyperlink r:id="rId3" ref="J44"/>
    <hyperlink r:id="rId4" ref="K44"/>
    <hyperlink r:id="rId5" ref="M44"/>
    <hyperlink r:id="rId6" ref="N44"/>
    <hyperlink r:id="rId7" ref="O44"/>
    <hyperlink r:id="rId8" ref="Q44"/>
    <hyperlink r:id="rId9" ref="R44"/>
    <hyperlink r:id="rId10" ref="S44"/>
    <hyperlink r:id="rId11" ref="U44"/>
    <hyperlink r:id="rId12" ref="V44"/>
  </hyperlinks>
  <printOptions/>
  <pageMargins bottom="0.75" footer="0.0" header="0.0" left="0.7" right="0.7" top="0.75"/>
  <pageSetup orientation="landscape"/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25.11"/>
    <col customWidth="1" min="3" max="3" width="10.67"/>
    <col customWidth="1" min="4" max="4" width="21.11"/>
    <col customWidth="1" min="5" max="5" width="17.11"/>
    <col customWidth="1" min="6" max="6" width="12.44"/>
    <col customWidth="1" min="7" max="7" width="36.56"/>
    <col customWidth="1" min="8" max="8" width="59.0"/>
    <col customWidth="1" min="9" max="26" width="11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3" t="s">
        <v>74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5" t="s">
        <v>75</v>
      </c>
      <c r="C5" s="5" t="s">
        <v>43</v>
      </c>
      <c r="D5" s="5" t="s">
        <v>76</v>
      </c>
      <c r="E5" s="5" t="s">
        <v>77</v>
      </c>
      <c r="F5" s="5" t="s">
        <v>78</v>
      </c>
      <c r="G5" s="54" t="s">
        <v>79</v>
      </c>
      <c r="H5" s="54" t="s">
        <v>80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55" t="s">
        <v>50</v>
      </c>
      <c r="C6" s="56" t="s">
        <v>81</v>
      </c>
      <c r="D6" s="43" t="s">
        <v>82</v>
      </c>
      <c r="E6" s="43">
        <v>100.0</v>
      </c>
      <c r="F6" s="43"/>
      <c r="G6" s="43" t="s">
        <v>83</v>
      </c>
      <c r="H6" s="43" t="s">
        <v>84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57"/>
      <c r="C7" s="39"/>
      <c r="D7" s="43" t="s">
        <v>85</v>
      </c>
      <c r="E7" s="43">
        <v>54.0</v>
      </c>
      <c r="F7" s="43"/>
      <c r="G7" s="43"/>
      <c r="H7" s="43" t="s">
        <v>86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57"/>
      <c r="C8" s="39"/>
      <c r="D8" s="43" t="s">
        <v>87</v>
      </c>
      <c r="E8" s="43">
        <v>28.0</v>
      </c>
      <c r="F8" s="43"/>
      <c r="G8" s="43" t="s">
        <v>83</v>
      </c>
      <c r="H8" s="43" t="s">
        <v>88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57"/>
      <c r="C9" s="39"/>
      <c r="D9" s="43" t="s">
        <v>85</v>
      </c>
      <c r="E9" s="43">
        <v>10.0</v>
      </c>
      <c r="F9" s="43" t="s">
        <v>23</v>
      </c>
      <c r="G9" s="43"/>
      <c r="H9" s="43" t="s">
        <v>89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57"/>
      <c r="C10" s="39"/>
      <c r="D10" s="43" t="s">
        <v>90</v>
      </c>
      <c r="E10" s="43">
        <v>10.0</v>
      </c>
      <c r="F10" s="43"/>
      <c r="G10" s="43"/>
      <c r="H10" s="43" t="s">
        <v>91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57"/>
      <c r="C11" s="39"/>
      <c r="D11" s="43" t="s">
        <v>92</v>
      </c>
      <c r="E11" s="43">
        <v>729.0</v>
      </c>
      <c r="F11" s="43"/>
      <c r="G11" s="43"/>
      <c r="H11" s="4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57"/>
      <c r="C12" s="39"/>
      <c r="D12" s="43"/>
      <c r="E12" s="43"/>
      <c r="F12" s="43"/>
      <c r="G12" s="43"/>
      <c r="H12" s="4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57"/>
      <c r="C13" s="39"/>
      <c r="D13" s="43"/>
      <c r="E13" s="43"/>
      <c r="F13" s="43"/>
      <c r="G13" s="43"/>
      <c r="H13" s="4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57"/>
      <c r="C14" s="39"/>
      <c r="D14" s="43"/>
      <c r="E14" s="43"/>
      <c r="F14" s="43"/>
      <c r="G14" s="43"/>
      <c r="H14" s="4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57"/>
      <c r="C15" s="39"/>
      <c r="D15" s="43"/>
      <c r="E15" s="43"/>
      <c r="F15" s="43"/>
      <c r="G15" s="43"/>
      <c r="H15" s="4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57"/>
      <c r="C16" s="39"/>
      <c r="D16" s="43"/>
      <c r="E16" s="43"/>
      <c r="F16" s="43"/>
      <c r="G16" s="43"/>
      <c r="H16" s="4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58"/>
      <c r="C17" s="59"/>
      <c r="D17" s="60"/>
      <c r="E17" s="60">
        <f>SUM(E6:E16)</f>
        <v>931</v>
      </c>
      <c r="F17" s="60"/>
      <c r="G17" s="60"/>
      <c r="H17" s="6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55" t="s">
        <v>52</v>
      </c>
      <c r="C18" s="39"/>
      <c r="D18" s="43" t="s">
        <v>82</v>
      </c>
      <c r="E18" s="43">
        <v>100.0</v>
      </c>
      <c r="F18" s="43"/>
      <c r="G18" s="43"/>
      <c r="H18" s="43" t="s">
        <v>93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57"/>
      <c r="C19" s="39"/>
      <c r="D19" s="43" t="s">
        <v>82</v>
      </c>
      <c r="E19" s="43">
        <v>20.0</v>
      </c>
      <c r="F19" s="43"/>
      <c r="G19" s="43"/>
      <c r="H19" s="43" t="s">
        <v>94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57"/>
      <c r="C20" s="39"/>
      <c r="D20" s="43" t="s">
        <v>92</v>
      </c>
      <c r="E20" s="43">
        <v>787.0</v>
      </c>
      <c r="F20" s="43"/>
      <c r="G20" s="43"/>
      <c r="H20" s="4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7"/>
      <c r="C21" s="39"/>
      <c r="D21" s="43"/>
      <c r="E21" s="43"/>
      <c r="F21" s="43"/>
      <c r="G21" s="43"/>
      <c r="H21" s="4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7"/>
      <c r="C22" s="39"/>
      <c r="D22" s="43"/>
      <c r="E22" s="43"/>
      <c r="F22" s="43"/>
      <c r="G22" s="43"/>
      <c r="H22" s="4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7"/>
      <c r="C23" s="39"/>
      <c r="D23" s="43"/>
      <c r="E23" s="43"/>
      <c r="F23" s="43"/>
      <c r="G23" s="43"/>
      <c r="H23" s="4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57"/>
      <c r="C24" s="39"/>
      <c r="D24" s="43"/>
      <c r="E24" s="43"/>
      <c r="F24" s="43"/>
      <c r="G24" s="43"/>
      <c r="H24" s="4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57"/>
      <c r="C25" s="39"/>
      <c r="D25" s="43"/>
      <c r="E25" s="43"/>
      <c r="F25" s="43"/>
      <c r="G25" s="43"/>
      <c r="H25" s="4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57"/>
      <c r="C26" s="39"/>
      <c r="D26" s="43"/>
      <c r="E26" s="43"/>
      <c r="F26" s="43"/>
      <c r="G26" s="43"/>
      <c r="H26" s="4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8"/>
      <c r="C27" s="59"/>
      <c r="D27" s="60"/>
      <c r="E27" s="60">
        <f>SUM(E18:E26)</f>
        <v>907</v>
      </c>
      <c r="F27" s="60"/>
      <c r="G27" s="60"/>
      <c r="H27" s="6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55" t="s">
        <v>54</v>
      </c>
      <c r="C28" s="39"/>
      <c r="D28" s="43" t="s">
        <v>82</v>
      </c>
      <c r="E28" s="43">
        <v>100.0</v>
      </c>
      <c r="F28" s="43"/>
      <c r="G28" s="43"/>
      <c r="H28" s="43" t="s">
        <v>93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7"/>
      <c r="C29" s="39"/>
      <c r="D29" s="43" t="s">
        <v>95</v>
      </c>
      <c r="E29" s="43">
        <v>250.0</v>
      </c>
      <c r="F29" s="43"/>
      <c r="G29" s="43"/>
      <c r="H29" s="43" t="s">
        <v>96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7"/>
      <c r="C30" s="39"/>
      <c r="D30" s="43" t="s">
        <v>92</v>
      </c>
      <c r="E30" s="43">
        <v>587.0</v>
      </c>
      <c r="F30" s="43"/>
      <c r="G30" s="43"/>
      <c r="H30" s="4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57"/>
      <c r="C31" s="39"/>
      <c r="D31" s="43"/>
      <c r="E31" s="43"/>
      <c r="F31" s="43"/>
      <c r="G31" s="43"/>
      <c r="H31" s="4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7"/>
      <c r="C32" s="39"/>
      <c r="D32" s="43"/>
      <c r="E32" s="43"/>
      <c r="F32" s="43"/>
      <c r="G32" s="43"/>
      <c r="H32" s="4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7"/>
      <c r="C33" s="39"/>
      <c r="D33" s="43"/>
      <c r="E33" s="43"/>
      <c r="F33" s="43"/>
      <c r="G33" s="43"/>
      <c r="H33" s="4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7"/>
      <c r="C34" s="39"/>
      <c r="D34" s="43"/>
      <c r="E34" s="43"/>
      <c r="F34" s="43"/>
      <c r="G34" s="43"/>
      <c r="H34" s="4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7"/>
      <c r="C35" s="39"/>
      <c r="D35" s="43"/>
      <c r="E35" s="43"/>
      <c r="F35" s="43"/>
      <c r="G35" s="43"/>
      <c r="H35" s="4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7"/>
      <c r="C36" s="39"/>
      <c r="D36" s="43"/>
      <c r="E36" s="43"/>
      <c r="F36" s="43"/>
      <c r="G36" s="43"/>
      <c r="H36" s="4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7"/>
      <c r="C37" s="39"/>
      <c r="D37" s="43"/>
      <c r="E37" s="43"/>
      <c r="F37" s="43"/>
      <c r="G37" s="43"/>
      <c r="H37" s="4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8"/>
      <c r="C38" s="59"/>
      <c r="D38" s="60"/>
      <c r="E38" s="60">
        <f>SUM(E28:E37)</f>
        <v>937</v>
      </c>
      <c r="F38" s="60"/>
      <c r="G38" s="60"/>
      <c r="H38" s="6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5" t="s">
        <v>56</v>
      </c>
      <c r="C39" s="39"/>
      <c r="D39" s="43" t="s">
        <v>82</v>
      </c>
      <c r="E39" s="43">
        <v>140.0</v>
      </c>
      <c r="F39" s="43"/>
      <c r="G39" s="43"/>
      <c r="H39" s="4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7"/>
      <c r="C40" s="39"/>
      <c r="D40" s="43" t="s">
        <v>92</v>
      </c>
      <c r="E40" s="43">
        <v>1105.0</v>
      </c>
      <c r="F40" s="43"/>
      <c r="G40" s="43"/>
      <c r="H40" s="4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7"/>
      <c r="C41" s="39"/>
      <c r="D41" s="43"/>
      <c r="E41" s="43"/>
      <c r="F41" s="43"/>
      <c r="G41" s="43"/>
      <c r="H41" s="4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7"/>
      <c r="C42" s="39"/>
      <c r="D42" s="43"/>
      <c r="E42" s="43"/>
      <c r="F42" s="43"/>
      <c r="G42" s="43"/>
      <c r="H42" s="4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7"/>
      <c r="C43" s="39"/>
      <c r="D43" s="43"/>
      <c r="E43" s="43"/>
      <c r="F43" s="43"/>
      <c r="G43" s="43"/>
      <c r="H43" s="4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7"/>
      <c r="C44" s="39"/>
      <c r="D44" s="43"/>
      <c r="E44" s="43"/>
      <c r="F44" s="43"/>
      <c r="G44" s="43"/>
      <c r="H44" s="4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7"/>
      <c r="C45" s="39"/>
      <c r="D45" s="43"/>
      <c r="E45" s="43"/>
      <c r="F45" s="43"/>
      <c r="G45" s="43"/>
      <c r="H45" s="4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7"/>
      <c r="C46" s="39"/>
      <c r="D46" s="43"/>
      <c r="E46" s="43"/>
      <c r="F46" s="43"/>
      <c r="G46" s="43"/>
      <c r="H46" s="4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7"/>
      <c r="C47" s="39"/>
      <c r="D47" s="43"/>
      <c r="E47" s="43"/>
      <c r="F47" s="43"/>
      <c r="G47" s="43"/>
      <c r="H47" s="4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58"/>
      <c r="C48" s="59"/>
      <c r="D48" s="60"/>
      <c r="E48" s="60">
        <f>SUM(E39:E47)</f>
        <v>1245</v>
      </c>
      <c r="F48" s="60"/>
      <c r="G48" s="60"/>
      <c r="H48" s="6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5" t="s">
        <v>58</v>
      </c>
      <c r="C49" s="39"/>
      <c r="D49" s="43" t="s">
        <v>85</v>
      </c>
      <c r="E49" s="43">
        <v>70.0</v>
      </c>
      <c r="F49" s="43" t="s">
        <v>16</v>
      </c>
      <c r="G49" s="43" t="s">
        <v>97</v>
      </c>
      <c r="H49" s="43" t="s">
        <v>98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7"/>
      <c r="C50" s="39"/>
      <c r="D50" s="43" t="s">
        <v>82</v>
      </c>
      <c r="E50" s="43">
        <v>140.0</v>
      </c>
      <c r="F50" s="43"/>
      <c r="G50" s="43"/>
      <c r="H50" s="43" t="s">
        <v>99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7"/>
      <c r="C51" s="39"/>
      <c r="D51" s="43" t="s">
        <v>85</v>
      </c>
      <c r="E51" s="43">
        <v>20.0</v>
      </c>
      <c r="F51" s="43" t="s">
        <v>16</v>
      </c>
      <c r="G51" s="43" t="s">
        <v>83</v>
      </c>
      <c r="H51" s="43" t="s">
        <v>100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7"/>
      <c r="C52" s="39"/>
      <c r="D52" s="43" t="s">
        <v>92</v>
      </c>
      <c r="E52" s="43">
        <v>1005.0</v>
      </c>
      <c r="F52" s="43"/>
      <c r="G52" s="43"/>
      <c r="H52" s="4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57"/>
      <c r="C53" s="39"/>
      <c r="D53" s="43"/>
      <c r="E53" s="43"/>
      <c r="F53" s="43"/>
      <c r="G53" s="43"/>
      <c r="H53" s="4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7"/>
      <c r="C54" s="39"/>
      <c r="D54" s="43"/>
      <c r="E54" s="43"/>
      <c r="F54" s="43"/>
      <c r="G54" s="43"/>
      <c r="H54" s="4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7"/>
      <c r="C55" s="39"/>
      <c r="D55" s="43"/>
      <c r="E55" s="43"/>
      <c r="F55" s="43"/>
      <c r="G55" s="43"/>
      <c r="H55" s="4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7"/>
      <c r="C56" s="39"/>
      <c r="D56" s="43"/>
      <c r="E56" s="43"/>
      <c r="F56" s="43"/>
      <c r="G56" s="43"/>
      <c r="H56" s="4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57"/>
      <c r="C57" s="39"/>
      <c r="D57" s="43"/>
      <c r="E57" s="43"/>
      <c r="F57" s="43"/>
      <c r="G57" s="43"/>
      <c r="H57" s="4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8"/>
      <c r="C58" s="59"/>
      <c r="D58" s="60"/>
      <c r="E58" s="60">
        <f>SUM(E49:E57)</f>
        <v>1235</v>
      </c>
      <c r="F58" s="60"/>
      <c r="G58" s="60"/>
      <c r="H58" s="6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5" t="s">
        <v>60</v>
      </c>
      <c r="C59" s="39"/>
      <c r="D59" s="43" t="s">
        <v>82</v>
      </c>
      <c r="E59" s="43">
        <v>140.0</v>
      </c>
      <c r="F59" s="43"/>
      <c r="G59" s="43"/>
      <c r="H59" s="4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7"/>
      <c r="C60" s="39"/>
      <c r="D60" s="43" t="s">
        <v>87</v>
      </c>
      <c r="E60" s="43">
        <v>130.0</v>
      </c>
      <c r="F60" s="43" t="s">
        <v>35</v>
      </c>
      <c r="G60" s="43" t="s">
        <v>83</v>
      </c>
      <c r="H60" s="43" t="s">
        <v>101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7"/>
      <c r="C61" s="39"/>
      <c r="D61" s="43" t="s">
        <v>92</v>
      </c>
      <c r="E61" s="43">
        <v>975.0</v>
      </c>
      <c r="F61" s="43"/>
      <c r="G61" s="43"/>
      <c r="H61" s="4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7"/>
      <c r="C62" s="39"/>
      <c r="D62" s="43"/>
      <c r="E62" s="43"/>
      <c r="F62" s="43"/>
      <c r="G62" s="43"/>
      <c r="H62" s="4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7"/>
      <c r="C63" s="39"/>
      <c r="D63" s="43"/>
      <c r="E63" s="43"/>
      <c r="F63" s="43"/>
      <c r="G63" s="43"/>
      <c r="H63" s="4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7"/>
      <c r="C64" s="39"/>
      <c r="D64" s="43"/>
      <c r="E64" s="43"/>
      <c r="F64" s="43"/>
      <c r="G64" s="43"/>
      <c r="H64" s="4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7"/>
      <c r="C65" s="39"/>
      <c r="D65" s="43"/>
      <c r="E65" s="43"/>
      <c r="F65" s="43"/>
      <c r="G65" s="43"/>
      <c r="H65" s="4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7"/>
      <c r="C66" s="39"/>
      <c r="D66" s="43"/>
      <c r="E66" s="43"/>
      <c r="F66" s="43"/>
      <c r="G66" s="43"/>
      <c r="H66" s="4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57"/>
      <c r="C67" s="39"/>
      <c r="D67" s="43"/>
      <c r="E67" s="43"/>
      <c r="F67" s="43"/>
      <c r="G67" s="43"/>
      <c r="H67" s="4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58"/>
      <c r="C68" s="59"/>
      <c r="D68" s="60"/>
      <c r="E68" s="60">
        <f>SUM(E59:E67)</f>
        <v>1245</v>
      </c>
      <c r="F68" s="60"/>
      <c r="G68" s="60"/>
      <c r="H68" s="6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55" t="s">
        <v>62</v>
      </c>
      <c r="C69" s="39"/>
      <c r="D69" s="43" t="s">
        <v>85</v>
      </c>
      <c r="E69" s="43">
        <v>475.0</v>
      </c>
      <c r="F69" s="43" t="s">
        <v>29</v>
      </c>
      <c r="G69" s="43" t="s">
        <v>83</v>
      </c>
      <c r="H69" s="43" t="s">
        <v>102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57"/>
      <c r="C70" s="39"/>
      <c r="D70" s="43" t="s">
        <v>82</v>
      </c>
      <c r="E70" s="43">
        <v>20.0</v>
      </c>
      <c r="F70" s="43"/>
      <c r="G70" s="43"/>
      <c r="H70" s="43" t="s">
        <v>103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57"/>
      <c r="C71" s="39"/>
      <c r="D71" s="43" t="s">
        <v>82</v>
      </c>
      <c r="E71" s="43">
        <v>200.0</v>
      </c>
      <c r="F71" s="43"/>
      <c r="G71" s="43"/>
      <c r="H71" s="43" t="s">
        <v>104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57"/>
      <c r="C72" s="39"/>
      <c r="D72" s="43" t="s">
        <v>90</v>
      </c>
      <c r="E72" s="43">
        <v>10.0</v>
      </c>
      <c r="F72" s="43" t="s">
        <v>29</v>
      </c>
      <c r="G72" s="43" t="s">
        <v>83</v>
      </c>
      <c r="H72" s="43" t="s">
        <v>105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57"/>
      <c r="C73" s="39"/>
      <c r="D73" s="43" t="s">
        <v>92</v>
      </c>
      <c r="E73" s="43">
        <v>560.0</v>
      </c>
      <c r="F73" s="43"/>
      <c r="G73" s="43"/>
      <c r="H73" s="4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57"/>
      <c r="C74" s="39"/>
      <c r="D74" s="43"/>
      <c r="E74" s="43"/>
      <c r="F74" s="43"/>
      <c r="G74" s="43"/>
      <c r="H74" s="4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57"/>
      <c r="C75" s="39"/>
      <c r="D75" s="43"/>
      <c r="E75" s="43"/>
      <c r="F75" s="43"/>
      <c r="G75" s="43"/>
      <c r="H75" s="4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57"/>
      <c r="C76" s="39"/>
      <c r="D76" s="43"/>
      <c r="E76" s="43"/>
      <c r="F76" s="43"/>
      <c r="G76" s="43"/>
      <c r="H76" s="4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57"/>
      <c r="C77" s="39"/>
      <c r="D77" s="43"/>
      <c r="E77" s="43"/>
      <c r="F77" s="43"/>
      <c r="G77" s="43"/>
      <c r="H77" s="4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8"/>
      <c r="C78" s="59"/>
      <c r="D78" s="60"/>
      <c r="E78" s="60">
        <f>SUM(E69:E77)</f>
        <v>1265</v>
      </c>
      <c r="F78" s="60"/>
      <c r="G78" s="60"/>
      <c r="H78" s="6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55" t="s">
        <v>64</v>
      </c>
      <c r="C79" s="39"/>
      <c r="D79" s="43" t="s">
        <v>82</v>
      </c>
      <c r="E79" s="43">
        <v>200.0</v>
      </c>
      <c r="F79" s="43"/>
      <c r="G79" s="43"/>
      <c r="H79" s="43" t="s">
        <v>106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7"/>
      <c r="C80" s="39"/>
      <c r="D80" s="43" t="s">
        <v>85</v>
      </c>
      <c r="E80" s="43">
        <v>285.0</v>
      </c>
      <c r="F80" s="43"/>
      <c r="G80" s="43"/>
      <c r="H80" s="43" t="s">
        <v>107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57"/>
      <c r="C81" s="39"/>
      <c r="D81" s="43" t="s">
        <v>92</v>
      </c>
      <c r="E81" s="43">
        <v>1240.0</v>
      </c>
      <c r="F81" s="43"/>
      <c r="G81" s="43"/>
      <c r="H81" s="4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57"/>
      <c r="C82" s="39"/>
      <c r="D82" s="43"/>
      <c r="E82" s="43"/>
      <c r="F82" s="43"/>
      <c r="G82" s="43"/>
      <c r="H82" s="4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57"/>
      <c r="C83" s="39"/>
      <c r="D83" s="43"/>
      <c r="E83" s="43"/>
      <c r="F83" s="43"/>
      <c r="G83" s="43"/>
      <c r="H83" s="4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57"/>
      <c r="C84" s="39"/>
      <c r="D84" s="43"/>
      <c r="E84" s="43"/>
      <c r="F84" s="43"/>
      <c r="G84" s="43"/>
      <c r="H84" s="4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57"/>
      <c r="C85" s="39"/>
      <c r="D85" s="43"/>
      <c r="E85" s="43"/>
      <c r="F85" s="43"/>
      <c r="G85" s="43"/>
      <c r="H85" s="4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57"/>
      <c r="C86" s="39"/>
      <c r="D86" s="43"/>
      <c r="E86" s="43"/>
      <c r="F86" s="43"/>
      <c r="G86" s="43"/>
      <c r="H86" s="4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58"/>
      <c r="C87" s="59"/>
      <c r="D87" s="60"/>
      <c r="E87" s="60">
        <f>SUM(E79:E86)</f>
        <v>1725</v>
      </c>
      <c r="F87" s="60"/>
      <c r="G87" s="60"/>
      <c r="H87" s="60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55" t="s">
        <v>66</v>
      </c>
      <c r="C88" s="39"/>
      <c r="D88" s="43" t="s">
        <v>108</v>
      </c>
      <c r="E88" s="61">
        <v>15.0</v>
      </c>
      <c r="F88" s="43"/>
      <c r="G88" s="43"/>
      <c r="H88" s="43" t="s">
        <v>109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7"/>
      <c r="C89" s="39"/>
      <c r="D89" s="43" t="s">
        <v>82</v>
      </c>
      <c r="E89" s="43">
        <v>200.0</v>
      </c>
      <c r="F89" s="43"/>
      <c r="G89" s="43"/>
      <c r="H89" s="43" t="s">
        <v>93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7"/>
      <c r="C90" s="39"/>
      <c r="D90" s="43" t="s">
        <v>90</v>
      </c>
      <c r="E90" s="43">
        <v>15.0</v>
      </c>
      <c r="F90" s="43"/>
      <c r="G90" s="43"/>
      <c r="H90" s="43" t="s">
        <v>91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7"/>
      <c r="C91" s="39"/>
      <c r="D91" s="43" t="s">
        <v>92</v>
      </c>
      <c r="E91" s="43">
        <v>1350.0</v>
      </c>
      <c r="F91" s="43"/>
      <c r="G91" s="43"/>
      <c r="H91" s="4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7"/>
      <c r="C92" s="39"/>
      <c r="D92" s="43"/>
      <c r="E92" s="43"/>
      <c r="F92" s="43"/>
      <c r="G92" s="43"/>
      <c r="H92" s="4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57"/>
      <c r="C93" s="39"/>
      <c r="D93" s="43"/>
      <c r="E93" s="43"/>
      <c r="F93" s="43"/>
      <c r="G93" s="43"/>
      <c r="H93" s="4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57"/>
      <c r="C94" s="39"/>
      <c r="D94" s="43"/>
      <c r="E94" s="43"/>
      <c r="F94" s="43"/>
      <c r="G94" s="43"/>
      <c r="H94" s="4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57"/>
      <c r="C95" s="39"/>
      <c r="D95" s="43"/>
      <c r="E95" s="43"/>
      <c r="F95" s="43"/>
      <c r="G95" s="43"/>
      <c r="H95" s="4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7"/>
      <c r="C96" s="39"/>
      <c r="D96" s="43"/>
      <c r="E96" s="43"/>
      <c r="F96" s="43"/>
      <c r="G96" s="43"/>
      <c r="H96" s="4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57"/>
      <c r="C97" s="39"/>
      <c r="D97" s="43"/>
      <c r="E97" s="43"/>
      <c r="F97" s="43"/>
      <c r="G97" s="43"/>
      <c r="H97" s="4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58"/>
      <c r="C98" s="59"/>
      <c r="D98" s="60"/>
      <c r="E98" s="60">
        <f>SUM(E88:E97)</f>
        <v>1580</v>
      </c>
      <c r="F98" s="60"/>
      <c r="G98" s="60"/>
      <c r="H98" s="6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55" t="s">
        <v>68</v>
      </c>
      <c r="C99" s="39"/>
      <c r="D99" s="43" t="s">
        <v>85</v>
      </c>
      <c r="E99" s="43">
        <v>23.0</v>
      </c>
      <c r="F99" s="43" t="s">
        <v>35</v>
      </c>
      <c r="G99" s="43" t="s">
        <v>83</v>
      </c>
      <c r="H99" s="43" t="s">
        <v>110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57"/>
      <c r="C100" s="39"/>
      <c r="D100" s="43" t="s">
        <v>82</v>
      </c>
      <c r="E100" s="43">
        <v>200.0</v>
      </c>
      <c r="F100" s="43"/>
      <c r="G100" s="43"/>
      <c r="H100" s="43" t="s">
        <v>106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57"/>
      <c r="C101" s="39"/>
      <c r="D101" s="43" t="s">
        <v>92</v>
      </c>
      <c r="E101" s="43">
        <v>1607.0</v>
      </c>
      <c r="F101" s="43"/>
      <c r="G101" s="43"/>
      <c r="H101" s="4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57"/>
      <c r="C102" s="39"/>
      <c r="D102" s="43"/>
      <c r="E102" s="43"/>
      <c r="F102" s="43"/>
      <c r="G102" s="43"/>
      <c r="H102" s="4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57"/>
      <c r="C103" s="39"/>
      <c r="D103" s="43"/>
      <c r="E103" s="43"/>
      <c r="F103" s="43"/>
      <c r="G103" s="43"/>
      <c r="H103" s="4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7"/>
      <c r="C104" s="39"/>
      <c r="D104" s="43"/>
      <c r="E104" s="43"/>
      <c r="F104" s="43"/>
      <c r="G104" s="43"/>
      <c r="H104" s="4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7"/>
      <c r="C105" s="39"/>
      <c r="D105" s="43"/>
      <c r="E105" s="43"/>
      <c r="F105" s="43"/>
      <c r="G105" s="43"/>
      <c r="H105" s="4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57"/>
      <c r="C106" s="39"/>
      <c r="D106" s="43"/>
      <c r="E106" s="43"/>
      <c r="F106" s="43"/>
      <c r="G106" s="43"/>
      <c r="H106" s="4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57"/>
      <c r="C107" s="39"/>
      <c r="D107" s="43"/>
      <c r="E107" s="43"/>
      <c r="F107" s="43"/>
      <c r="G107" s="43"/>
      <c r="H107" s="4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58"/>
      <c r="C108" s="59"/>
      <c r="D108" s="60"/>
      <c r="E108" s="60">
        <f>SUM(E99:E107)</f>
        <v>1830</v>
      </c>
      <c r="F108" s="60"/>
      <c r="G108" s="60"/>
      <c r="H108" s="6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55" t="s">
        <v>70</v>
      </c>
      <c r="C109" s="39"/>
      <c r="D109" s="43" t="s">
        <v>82</v>
      </c>
      <c r="E109" s="43">
        <v>200.0</v>
      </c>
      <c r="F109" s="43"/>
      <c r="G109" s="43"/>
      <c r="H109" s="43" t="s">
        <v>106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7"/>
      <c r="C110" s="39"/>
      <c r="D110" s="43" t="s">
        <v>92</v>
      </c>
      <c r="E110" s="43">
        <v>1375.0</v>
      </c>
      <c r="F110" s="43"/>
      <c r="G110" s="43"/>
      <c r="H110" s="4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57"/>
      <c r="C111" s="39"/>
      <c r="D111" s="43"/>
      <c r="E111" s="43"/>
      <c r="F111" s="43"/>
      <c r="G111" s="43"/>
      <c r="H111" s="4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7"/>
      <c r="C112" s="39"/>
      <c r="D112" s="43"/>
      <c r="E112" s="43"/>
      <c r="F112" s="43"/>
      <c r="G112" s="43"/>
      <c r="H112" s="4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7"/>
      <c r="C113" s="39"/>
      <c r="D113" s="43"/>
      <c r="E113" s="43"/>
      <c r="F113" s="43"/>
      <c r="G113" s="43"/>
      <c r="H113" s="4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7"/>
      <c r="C114" s="39"/>
      <c r="D114" s="43"/>
      <c r="E114" s="43"/>
      <c r="F114" s="43"/>
      <c r="G114" s="43"/>
      <c r="H114" s="4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7"/>
      <c r="C115" s="39"/>
      <c r="D115" s="43"/>
      <c r="E115" s="43"/>
      <c r="F115" s="43"/>
      <c r="G115" s="43"/>
      <c r="H115" s="4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7"/>
      <c r="C116" s="39"/>
      <c r="D116" s="43"/>
      <c r="E116" s="43"/>
      <c r="F116" s="43"/>
      <c r="G116" s="43"/>
      <c r="H116" s="4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57"/>
      <c r="C117" s="39"/>
      <c r="D117" s="43"/>
      <c r="E117" s="43"/>
      <c r="F117" s="43"/>
      <c r="G117" s="43"/>
      <c r="H117" s="4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58"/>
      <c r="C118" s="59"/>
      <c r="D118" s="60"/>
      <c r="E118" s="60">
        <f>SUM(E109:E117)</f>
        <v>1575</v>
      </c>
      <c r="F118" s="60"/>
      <c r="G118" s="60"/>
      <c r="H118" s="6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55" t="s">
        <v>72</v>
      </c>
      <c r="C119" s="39"/>
      <c r="D119" s="43" t="s">
        <v>82</v>
      </c>
      <c r="E119" s="43">
        <v>200.0</v>
      </c>
      <c r="F119" s="43" t="s">
        <v>16</v>
      </c>
      <c r="G119" s="43"/>
      <c r="H119" s="62" t="s">
        <v>111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57"/>
      <c r="C120" s="39"/>
      <c r="D120" s="43" t="s">
        <v>108</v>
      </c>
      <c r="E120" s="43">
        <v>360.0</v>
      </c>
      <c r="F120" s="43"/>
      <c r="G120" s="43"/>
      <c r="H120" s="43" t="s">
        <v>112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57"/>
      <c r="C121" s="39"/>
      <c r="D121" s="43" t="s">
        <v>90</v>
      </c>
      <c r="E121" s="43">
        <v>20.0</v>
      </c>
      <c r="F121" s="43"/>
      <c r="G121" s="43"/>
      <c r="H121" s="43" t="s">
        <v>91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7"/>
      <c r="C122" s="39"/>
      <c r="D122" s="43" t="s">
        <v>92</v>
      </c>
      <c r="E122" s="43">
        <v>1195.0</v>
      </c>
      <c r="F122" s="43"/>
      <c r="G122" s="43"/>
      <c r="H122" s="4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57"/>
      <c r="C123" s="39"/>
      <c r="D123" s="43"/>
      <c r="E123" s="43"/>
      <c r="F123" s="43"/>
      <c r="G123" s="43"/>
      <c r="H123" s="4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7"/>
      <c r="C124" s="39"/>
      <c r="D124" s="43"/>
      <c r="E124" s="43"/>
      <c r="F124" s="43"/>
      <c r="G124" s="43"/>
      <c r="H124" s="4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7"/>
      <c r="C125" s="39"/>
      <c r="D125" s="43"/>
      <c r="E125" s="43"/>
      <c r="F125" s="43"/>
      <c r="G125" s="43"/>
      <c r="H125" s="4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8"/>
      <c r="C126" s="59"/>
      <c r="D126" s="60"/>
      <c r="E126" s="60">
        <f>SUM(E119:E125)</f>
        <v>1775</v>
      </c>
      <c r="F126" s="60"/>
      <c r="G126" s="60"/>
      <c r="H126" s="6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42"/>
      <c r="C127" s="39"/>
      <c r="D127" s="43"/>
      <c r="E127" s="43"/>
      <c r="F127" s="43"/>
      <c r="G127" s="43"/>
      <c r="H127" s="4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48" t="s">
        <v>113</v>
      </c>
      <c r="C128" s="63"/>
      <c r="D128" s="64"/>
      <c r="E128" s="64">
        <f>E126+E118+E108+E98+E87+E78+E68+E58+E48+E38+E27+E17</f>
        <v>16250</v>
      </c>
      <c r="F128" s="64"/>
      <c r="G128" s="64"/>
      <c r="H128" s="6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79:B87"/>
    <mergeCell ref="B88:B98"/>
    <mergeCell ref="B99:B108"/>
    <mergeCell ref="B109:B118"/>
    <mergeCell ref="B119:B126"/>
    <mergeCell ref="B6:B17"/>
    <mergeCell ref="B18:B27"/>
    <mergeCell ref="B28:B38"/>
    <mergeCell ref="B39:B48"/>
    <mergeCell ref="B49:B58"/>
    <mergeCell ref="B59:B68"/>
    <mergeCell ref="B69:B78"/>
  </mergeCells>
  <dataValidations>
    <dataValidation type="list" allowBlank="1" showErrorMessage="1" sqref="D5">
      <formula1>"Maintenance,Utilities,Wages &amp; salaries,Repairs,Sheet,Property taxes,Other"</formula1>
    </dataValidation>
    <dataValidation type="list" allowBlank="1" showErrorMessage="1" sqref="F6:F16 F18:F26 F28:F37 F39:F47 F49:F57 F59:F67 F69:F77 F79:F86 F88:F97 F99:F107 F109:F117 F119:F125 F127">
      <formula1>"Unit 1,Unit 2,Unit 3,Unit 4,Unit 5,Unit 6,Unit 7"</formula1>
    </dataValidation>
    <dataValidation type="list" allowBlank="1" showErrorMessage="1" sqref="G6:G8 G10:G16 G18:G26 G28:G37 G39:G47 G49:G57 G59:G67 G69:G77 G79:G86 G88:G97 G99:G107 G109:G117 G119:G125 G127">
      <formula1>"Claiming from tenant,Not claiming from tenant"</formula1>
    </dataValidation>
    <dataValidation type="list" allowBlank="1" showErrorMessage="1" sqref="D6:D10 D16:D19 D21:D29 D31:D39 D41:D51 D53:D60 D62:D72 D74:D80 D82:D127">
      <formula1>"Maintenance,Utilities,Wages &amp; salaries,Repairs,Property taxes,Other"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1.22" defaultRowHeight="15.0"/>
  <cols>
    <col customWidth="1" min="1" max="1" width="2.67"/>
    <col customWidth="1" min="2" max="2" width="29.11"/>
    <col customWidth="1" min="3" max="3" width="14.67"/>
    <col customWidth="1" min="4" max="15" width="13.44"/>
    <col customWidth="1" min="16" max="26" width="10.56"/>
  </cols>
  <sheetData>
    <row r="1" ht="15.75" customHeight="1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5.75" customHeight="1">
      <c r="A2" s="65"/>
      <c r="B2" s="66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5.75" customHeight="1">
      <c r="A3" s="65"/>
      <c r="B3" s="67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5.75" customHeight="1">
      <c r="A4" s="65"/>
      <c r="B4" s="67" t="s">
        <v>114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5.75" customHeight="1">
      <c r="A5" s="65"/>
      <c r="B5" s="67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5.75" customHeight="1">
      <c r="A6" s="65"/>
      <c r="B6" s="67" t="s">
        <v>115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5.75" customHeight="1">
      <c r="A7" s="65"/>
      <c r="B7" s="67" t="s">
        <v>116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5.75" customHeight="1">
      <c r="A8" s="65"/>
      <c r="B8" s="67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5.75" customHeight="1">
      <c r="A9" s="65"/>
      <c r="B9" s="68" t="s">
        <v>117</v>
      </c>
      <c r="C9" s="69" t="s">
        <v>118</v>
      </c>
      <c r="D9" s="69" t="str">
        <f>CONCATENATE("JAN ",$C$2)</f>
        <v>JAN </v>
      </c>
      <c r="E9" s="69" t="str">
        <f>CONCATENATE("FEB ",$C$2)</f>
        <v>FEB </v>
      </c>
      <c r="F9" s="69" t="str">
        <f>CONCATENATE("MAR ",$C$2)</f>
        <v>MAR </v>
      </c>
      <c r="G9" s="69" t="str">
        <f>CONCATENATE("APR ",$C$2)</f>
        <v>APR </v>
      </c>
      <c r="H9" s="69" t="str">
        <f>CONCATENATE("MAY ",$C$2)</f>
        <v>MAY </v>
      </c>
      <c r="I9" s="69" t="str">
        <f>CONCATENATE("JUN ",$C$2)</f>
        <v>JUN </v>
      </c>
      <c r="J9" s="69" t="str">
        <f>CONCATENATE("JUL ",$C$2)</f>
        <v>JUL </v>
      </c>
      <c r="K9" s="69" t="str">
        <f>CONCATENATE("AUG ",$C$2)</f>
        <v>AUG </v>
      </c>
      <c r="L9" s="69" t="str">
        <f>CONCATENATE("SEP ",$C$2)</f>
        <v>SEP </v>
      </c>
      <c r="M9" s="69" t="str">
        <f>CONCATENATE("OCT ",$C$2)</f>
        <v>OCT </v>
      </c>
      <c r="N9" s="69" t="str">
        <f>CONCATENATE("NOV ",$C$2)</f>
        <v>NOV </v>
      </c>
      <c r="O9" s="69" t="str">
        <f>CONCATENATE("DEC ",$C$2)</f>
        <v>DEC </v>
      </c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5.75" customHeight="1">
      <c r="A10" s="65"/>
      <c r="B10" s="65" t="s">
        <v>16</v>
      </c>
      <c r="C10" s="70">
        <f t="shared" ref="C10:C17" si="1">SUM(D10:O10)</f>
        <v>2577.97</v>
      </c>
      <c r="D10" s="70">
        <f>Income!E29</f>
        <v>102.88</v>
      </c>
      <c r="E10" s="70">
        <f>Income!E30</f>
        <v>163.46</v>
      </c>
      <c r="F10" s="70">
        <f>Income!E31</f>
        <v>171.63</v>
      </c>
      <c r="G10" s="70">
        <f>Income!E32</f>
        <v>250</v>
      </c>
      <c r="H10" s="70">
        <f>Income!E33</f>
        <v>250</v>
      </c>
      <c r="I10" s="70">
        <f>Income!E34</f>
        <v>250</v>
      </c>
      <c r="J10" s="70">
        <f>Income!E35</f>
        <v>230</v>
      </c>
      <c r="K10" s="70">
        <f>Income!E36</f>
        <v>250</v>
      </c>
      <c r="L10" s="70">
        <f>Income!E37</f>
        <v>230</v>
      </c>
      <c r="M10" s="70">
        <f>Income!E38</f>
        <v>230</v>
      </c>
      <c r="N10" s="70">
        <f>Income!E39</f>
        <v>225</v>
      </c>
      <c r="O10" s="70">
        <f>Income!E40</f>
        <v>225</v>
      </c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5.75" customHeight="1">
      <c r="A11" s="65"/>
      <c r="B11" s="65" t="s">
        <v>20</v>
      </c>
      <c r="C11" s="70">
        <f t="shared" si="1"/>
        <v>2151.55</v>
      </c>
      <c r="D11" s="70">
        <f>Income!I29</f>
        <v>79.62</v>
      </c>
      <c r="E11" s="70">
        <f>Income!I30</f>
        <v>134.62</v>
      </c>
      <c r="F11" s="70">
        <f>Income!I31</f>
        <v>137.31</v>
      </c>
      <c r="G11" s="70">
        <f>Income!I32</f>
        <v>200</v>
      </c>
      <c r="H11" s="70">
        <f>Income!I33</f>
        <v>200</v>
      </c>
      <c r="I11" s="70">
        <f>Income!I34</f>
        <v>200</v>
      </c>
      <c r="J11" s="70">
        <f>Income!I35</f>
        <v>200</v>
      </c>
      <c r="K11" s="70" t="str">
        <f>Income!I36</f>
        <v/>
      </c>
      <c r="L11" s="70">
        <f>Income!I37</f>
        <v>250</v>
      </c>
      <c r="M11" s="70">
        <f>Income!I38</f>
        <v>250</v>
      </c>
      <c r="N11" s="70">
        <f>Income!I39</f>
        <v>250</v>
      </c>
      <c r="O11" s="70">
        <f>Income!I40</f>
        <v>250</v>
      </c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5.75" customHeight="1">
      <c r="A12" s="65"/>
      <c r="B12" s="65" t="s">
        <v>23</v>
      </c>
      <c r="C12" s="70">
        <f t="shared" si="1"/>
        <v>2161.54</v>
      </c>
      <c r="D12" s="70">
        <f>Income!M29</f>
        <v>96.15</v>
      </c>
      <c r="E12" s="70">
        <f>Income!M30</f>
        <v>134.62</v>
      </c>
      <c r="F12" s="70">
        <f>Income!M31</f>
        <v>130.77</v>
      </c>
      <c r="G12" s="70">
        <f>Income!M32</f>
        <v>200</v>
      </c>
      <c r="H12" s="70">
        <f>Income!M33</f>
        <v>200</v>
      </c>
      <c r="I12" s="70">
        <f>Income!M34</f>
        <v>200</v>
      </c>
      <c r="J12" s="70">
        <f>Income!M35</f>
        <v>200</v>
      </c>
      <c r="K12" s="70">
        <f>Income!M36</f>
        <v>200</v>
      </c>
      <c r="L12" s="70">
        <f>Income!M37</f>
        <v>200</v>
      </c>
      <c r="M12" s="70">
        <f>Income!M38</f>
        <v>200</v>
      </c>
      <c r="N12" s="70">
        <f>Income!M39</f>
        <v>200</v>
      </c>
      <c r="O12" s="70">
        <f>Income!M40</f>
        <v>200</v>
      </c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5.75" customHeight="1">
      <c r="A13" s="65"/>
      <c r="B13" s="65" t="s">
        <v>26</v>
      </c>
      <c r="C13" s="70">
        <f t="shared" si="1"/>
        <v>2377.01</v>
      </c>
      <c r="D13" s="70">
        <f>Income!Q29</f>
        <v>101.92</v>
      </c>
      <c r="E13" s="70">
        <f>Income!Q30</f>
        <v>163.46</v>
      </c>
      <c r="F13" s="70">
        <f>Income!Q31</f>
        <v>171.63</v>
      </c>
      <c r="G13" s="70">
        <f>Income!Q32</f>
        <v>200</v>
      </c>
      <c r="H13" s="70">
        <f>Income!Q33</f>
        <v>180</v>
      </c>
      <c r="I13" s="70">
        <f>Income!Q34</f>
        <v>200</v>
      </c>
      <c r="J13" s="70">
        <f>Income!Q35</f>
        <v>410</v>
      </c>
      <c r="K13" s="70">
        <f>Income!Q36</f>
        <v>200</v>
      </c>
      <c r="L13" s="70" t="str">
        <f>Income!Q37</f>
        <v/>
      </c>
      <c r="M13" s="70">
        <f>Income!Q38</f>
        <v>250</v>
      </c>
      <c r="N13" s="70">
        <f>Income!Q39</f>
        <v>250</v>
      </c>
      <c r="O13" s="70">
        <f>Income!Q40</f>
        <v>250</v>
      </c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5.75" customHeight="1">
      <c r="A14" s="65"/>
      <c r="B14" s="65" t="s">
        <v>29</v>
      </c>
      <c r="C14" s="70">
        <f t="shared" si="1"/>
        <v>2080.88</v>
      </c>
      <c r="D14" s="70">
        <f>Income!U29</f>
        <v>100.96</v>
      </c>
      <c r="E14" s="70">
        <f>Income!U30</f>
        <v>163.46</v>
      </c>
      <c r="F14" s="70">
        <f>Income!U31</f>
        <v>171.46</v>
      </c>
      <c r="G14" s="70">
        <f>Income!U32</f>
        <v>170</v>
      </c>
      <c r="H14" s="70">
        <f>Income!U33</f>
        <v>180</v>
      </c>
      <c r="I14" s="70">
        <f>Income!U34</f>
        <v>170</v>
      </c>
      <c r="J14" s="70" t="str">
        <f>Income!U35</f>
        <v/>
      </c>
      <c r="K14" s="70">
        <f>Income!U36</f>
        <v>225</v>
      </c>
      <c r="L14" s="70">
        <f>Income!U37</f>
        <v>225</v>
      </c>
      <c r="M14" s="70">
        <f>Income!U38</f>
        <v>225</v>
      </c>
      <c r="N14" s="70">
        <f>Income!U39</f>
        <v>225</v>
      </c>
      <c r="O14" s="70">
        <f>Income!U40</f>
        <v>225</v>
      </c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5.75" customHeight="1">
      <c r="A15" s="65"/>
      <c r="B15" s="65" t="s">
        <v>32</v>
      </c>
      <c r="C15" s="70">
        <f t="shared" si="1"/>
        <v>2576.591154</v>
      </c>
      <c r="D15" s="70">
        <f>Income!Y29</f>
        <v>250</v>
      </c>
      <c r="E15" s="70">
        <f>Income!Y30</f>
        <v>147.12</v>
      </c>
      <c r="F15" s="70">
        <f>Income!Y31</f>
        <v>154.4711538</v>
      </c>
      <c r="G15" s="70">
        <f>Income!Y32</f>
        <v>225</v>
      </c>
      <c r="H15" s="70">
        <f>Income!Y33</f>
        <v>225</v>
      </c>
      <c r="I15" s="70">
        <f>Income!Y34</f>
        <v>225</v>
      </c>
      <c r="J15" s="70">
        <f>Income!Y35</f>
        <v>225</v>
      </c>
      <c r="K15" s="70">
        <f>Income!Y36</f>
        <v>225</v>
      </c>
      <c r="L15" s="70">
        <f>Income!Y37</f>
        <v>225</v>
      </c>
      <c r="M15" s="70">
        <f>Income!Y38</f>
        <v>225</v>
      </c>
      <c r="N15" s="70">
        <f>Income!Y39</f>
        <v>225</v>
      </c>
      <c r="O15" s="70">
        <f>Income!Y40</f>
        <v>225</v>
      </c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5.75" customHeight="1">
      <c r="A16" s="65"/>
      <c r="B16" s="65" t="s">
        <v>35</v>
      </c>
      <c r="C16" s="70">
        <f t="shared" si="1"/>
        <v>1000</v>
      </c>
      <c r="D16" s="70" t="str">
        <f>Income!AC29</f>
        <v/>
      </c>
      <c r="E16" s="70" t="str">
        <f>Income!AC30</f>
        <v/>
      </c>
      <c r="F16" s="70" t="str">
        <f>Income!AC31</f>
        <v/>
      </c>
      <c r="G16" s="70" t="str">
        <f>Income!AC32</f>
        <v/>
      </c>
      <c r="H16" s="70" t="str">
        <f>Income!AC33</f>
        <v/>
      </c>
      <c r="I16" s="70" t="str">
        <f>Income!AC34</f>
        <v/>
      </c>
      <c r="J16" s="70" t="str">
        <f>Income!AC35</f>
        <v/>
      </c>
      <c r="K16" s="70">
        <f>Income!AC36</f>
        <v>200</v>
      </c>
      <c r="L16" s="70">
        <f>Income!AC37</f>
        <v>200</v>
      </c>
      <c r="M16" s="70">
        <f>Income!AC38</f>
        <v>200</v>
      </c>
      <c r="N16" s="70">
        <f>Income!AC39</f>
        <v>200</v>
      </c>
      <c r="O16" s="70">
        <f>Income!AC40</f>
        <v>200</v>
      </c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5.75" customHeight="1">
      <c r="A17" s="65"/>
      <c r="B17" s="65" t="s">
        <v>38</v>
      </c>
      <c r="C17" s="70">
        <f t="shared" si="1"/>
        <v>2400</v>
      </c>
      <c r="D17" s="70">
        <f>Income!AG29</f>
        <v>200</v>
      </c>
      <c r="E17" s="70">
        <f>Income!AG30</f>
        <v>200</v>
      </c>
      <c r="F17" s="70">
        <f>Income!AG31</f>
        <v>200</v>
      </c>
      <c r="G17" s="70">
        <f>Income!AG32</f>
        <v>200</v>
      </c>
      <c r="H17" s="70">
        <f>Income!AG33</f>
        <v>200</v>
      </c>
      <c r="I17" s="70">
        <f>Income!AG34</f>
        <v>200</v>
      </c>
      <c r="J17" s="70">
        <f>Income!AG35</f>
        <v>200</v>
      </c>
      <c r="K17" s="70">
        <f>Income!AG36</f>
        <v>200</v>
      </c>
      <c r="L17" s="70">
        <f>Income!AG37</f>
        <v>200</v>
      </c>
      <c r="M17" s="70">
        <f>Income!AG38</f>
        <v>200</v>
      </c>
      <c r="N17" s="70">
        <f>Income!AG39</f>
        <v>200</v>
      </c>
      <c r="O17" s="70">
        <f>Income!AG40</f>
        <v>200</v>
      </c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5.75" customHeight="1">
      <c r="A18" s="65"/>
      <c r="B18" s="71" t="s">
        <v>119</v>
      </c>
      <c r="C18" s="72">
        <f>SUM(C10:C17)</f>
        <v>17325.54115</v>
      </c>
      <c r="D18" s="72">
        <f t="shared" ref="D18:N18" si="2">SUM(D10:D16)</f>
        <v>731.53</v>
      </c>
      <c r="E18" s="72">
        <f t="shared" si="2"/>
        <v>906.74</v>
      </c>
      <c r="F18" s="72">
        <f t="shared" si="2"/>
        <v>937.2711538</v>
      </c>
      <c r="G18" s="72">
        <f t="shared" si="2"/>
        <v>1245</v>
      </c>
      <c r="H18" s="72">
        <f t="shared" si="2"/>
        <v>1235</v>
      </c>
      <c r="I18" s="72">
        <f t="shared" si="2"/>
        <v>1245</v>
      </c>
      <c r="J18" s="72">
        <f t="shared" si="2"/>
        <v>1265</v>
      </c>
      <c r="K18" s="72">
        <f t="shared" si="2"/>
        <v>1300</v>
      </c>
      <c r="L18" s="72">
        <f t="shared" si="2"/>
        <v>1330</v>
      </c>
      <c r="M18" s="72">
        <f t="shared" si="2"/>
        <v>1580</v>
      </c>
      <c r="N18" s="72">
        <f t="shared" si="2"/>
        <v>1575</v>
      </c>
      <c r="O18" s="72">
        <f>SUM(O10:O17)</f>
        <v>1775</v>
      </c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5.75" customHeight="1">
      <c r="A19" s="65"/>
      <c r="B19" s="73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5.75" customHeight="1">
      <c r="A20" s="65"/>
      <c r="B20" s="75" t="s">
        <v>120</v>
      </c>
      <c r="C20" s="76" t="s">
        <v>118</v>
      </c>
      <c r="D20" s="76" t="str">
        <f>CONCATENATE("JAN ",$C$2)</f>
        <v>JAN </v>
      </c>
      <c r="E20" s="76" t="str">
        <f>CONCATENATE("FEB ",$C$2)</f>
        <v>FEB </v>
      </c>
      <c r="F20" s="76" t="str">
        <f>CONCATENATE("MAR ",$C$2)</f>
        <v>MAR </v>
      </c>
      <c r="G20" s="76" t="str">
        <f>CONCATENATE("APR ",$C$2)</f>
        <v>APR </v>
      </c>
      <c r="H20" s="76" t="str">
        <f>CONCATENATE("MAY ",$C$2)</f>
        <v>MAY </v>
      </c>
      <c r="I20" s="76" t="str">
        <f>CONCATENATE("JUN ",$C$2)</f>
        <v>JUN </v>
      </c>
      <c r="J20" s="76" t="str">
        <f>CONCATENATE("JUL ",$C$2)</f>
        <v>JUL </v>
      </c>
      <c r="K20" s="76" t="str">
        <f>CONCATENATE("AUG ",$C$2)</f>
        <v>AUG </v>
      </c>
      <c r="L20" s="76" t="str">
        <f>CONCATENATE("SEP ",$C$2)</f>
        <v>SEP </v>
      </c>
      <c r="M20" s="76" t="str">
        <f>CONCATENATE("OCT ",$C$2)</f>
        <v>OCT </v>
      </c>
      <c r="N20" s="76" t="str">
        <f>CONCATENATE("NOV ",$C$2)</f>
        <v>NOV </v>
      </c>
      <c r="O20" s="76" t="str">
        <f>CONCATENATE("DEC ",$C$2)</f>
        <v>DEC </v>
      </c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5.75" customHeight="1">
      <c r="A21" s="65"/>
      <c r="B21" s="77" t="s">
        <v>20</v>
      </c>
      <c r="C21" s="78">
        <f t="shared" ref="C21:C25" si="3">SUM(D21:O21)</f>
        <v>250</v>
      </c>
      <c r="D21" s="78">
        <v>0.0</v>
      </c>
      <c r="E21" s="78">
        <v>0.0</v>
      </c>
      <c r="F21" s="78">
        <v>0.0</v>
      </c>
      <c r="G21" s="78">
        <v>0.0</v>
      </c>
      <c r="H21" s="78">
        <v>0.0</v>
      </c>
      <c r="I21" s="78">
        <v>0.0</v>
      </c>
      <c r="J21" s="78">
        <v>0.0</v>
      </c>
      <c r="K21" s="78">
        <v>0.0</v>
      </c>
      <c r="L21" s="78">
        <v>250.0</v>
      </c>
      <c r="M21" s="78">
        <v>0.0</v>
      </c>
      <c r="N21" s="78">
        <v>0.0</v>
      </c>
      <c r="O21" s="78">
        <v>0.0</v>
      </c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5.75" customHeight="1">
      <c r="A22" s="65"/>
      <c r="B22" s="77" t="s">
        <v>26</v>
      </c>
      <c r="C22" s="78">
        <f t="shared" si="3"/>
        <v>250</v>
      </c>
      <c r="D22" s="78">
        <v>0.0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250.0</v>
      </c>
      <c r="N22" s="78">
        <v>0.0</v>
      </c>
      <c r="O22" s="78">
        <v>0.0</v>
      </c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5.75" customHeight="1">
      <c r="A23" s="65"/>
      <c r="B23" s="77" t="s">
        <v>29</v>
      </c>
      <c r="C23" s="78">
        <f t="shared" si="3"/>
        <v>225</v>
      </c>
      <c r="D23" s="78">
        <v>0.0</v>
      </c>
      <c r="E23" s="78">
        <v>0.0</v>
      </c>
      <c r="F23" s="78">
        <v>0.0</v>
      </c>
      <c r="G23" s="78">
        <v>0.0</v>
      </c>
      <c r="H23" s="78">
        <v>0.0</v>
      </c>
      <c r="I23" s="78">
        <v>0.0</v>
      </c>
      <c r="J23" s="78">
        <v>0.0</v>
      </c>
      <c r="K23" s="78">
        <v>225.0</v>
      </c>
      <c r="L23" s="78">
        <v>0.0</v>
      </c>
      <c r="M23" s="78">
        <v>0.0</v>
      </c>
      <c r="N23" s="78">
        <v>0.0</v>
      </c>
      <c r="O23" s="78">
        <v>0.0</v>
      </c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5.75" customHeight="1">
      <c r="A24" s="65"/>
      <c r="B24" s="77" t="s">
        <v>35</v>
      </c>
      <c r="C24" s="78">
        <f t="shared" si="3"/>
        <v>200</v>
      </c>
      <c r="D24" s="78">
        <v>0.0</v>
      </c>
      <c r="E24" s="78">
        <v>0.0</v>
      </c>
      <c r="F24" s="78">
        <v>0.0</v>
      </c>
      <c r="G24" s="78">
        <v>0.0</v>
      </c>
      <c r="H24" s="78">
        <v>0.0</v>
      </c>
      <c r="I24" s="78">
        <v>0.0</v>
      </c>
      <c r="J24" s="78">
        <v>0.0</v>
      </c>
      <c r="K24" s="78">
        <v>200.0</v>
      </c>
      <c r="L24" s="78">
        <v>0.0</v>
      </c>
      <c r="M24" s="78">
        <v>0.0</v>
      </c>
      <c r="N24" s="78">
        <v>0.0</v>
      </c>
      <c r="O24" s="78">
        <v>0.0</v>
      </c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5.75" customHeight="1">
      <c r="A25" s="65"/>
      <c r="B25" s="77" t="s">
        <v>38</v>
      </c>
      <c r="C25" s="78">
        <f t="shared" si="3"/>
        <v>200</v>
      </c>
      <c r="D25" s="78">
        <v>200.0</v>
      </c>
      <c r="E25" s="78">
        <v>0.0</v>
      </c>
      <c r="F25" s="78">
        <v>0.0</v>
      </c>
      <c r="G25" s="78">
        <v>0.0</v>
      </c>
      <c r="H25" s="78">
        <v>0.0</v>
      </c>
      <c r="I25" s="78">
        <v>0.0</v>
      </c>
      <c r="J25" s="78">
        <v>0.0</v>
      </c>
      <c r="K25" s="78">
        <v>0.0</v>
      </c>
      <c r="L25" s="78">
        <v>0.0</v>
      </c>
      <c r="M25" s="78">
        <v>0.0</v>
      </c>
      <c r="N25" s="78">
        <v>0.0</v>
      </c>
      <c r="O25" s="78">
        <v>0.0</v>
      </c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5.75" customHeight="1">
      <c r="A26" s="65"/>
      <c r="B26" s="71" t="s">
        <v>121</v>
      </c>
      <c r="C26" s="72">
        <f t="shared" ref="C26:O26" si="4">SUM(C21:C25)</f>
        <v>1125</v>
      </c>
      <c r="D26" s="79">
        <f t="shared" si="4"/>
        <v>200</v>
      </c>
      <c r="E26" s="79">
        <f t="shared" si="4"/>
        <v>0</v>
      </c>
      <c r="F26" s="79">
        <f t="shared" si="4"/>
        <v>0</v>
      </c>
      <c r="G26" s="79">
        <f t="shared" si="4"/>
        <v>0</v>
      </c>
      <c r="H26" s="79">
        <f t="shared" si="4"/>
        <v>0</v>
      </c>
      <c r="I26" s="79">
        <f t="shared" si="4"/>
        <v>0</v>
      </c>
      <c r="J26" s="79">
        <f t="shared" si="4"/>
        <v>0</v>
      </c>
      <c r="K26" s="79">
        <f t="shared" si="4"/>
        <v>425</v>
      </c>
      <c r="L26" s="79">
        <f t="shared" si="4"/>
        <v>250</v>
      </c>
      <c r="M26" s="79">
        <f t="shared" si="4"/>
        <v>250</v>
      </c>
      <c r="N26" s="79">
        <f t="shared" si="4"/>
        <v>0</v>
      </c>
      <c r="O26" s="79">
        <f t="shared" si="4"/>
        <v>0</v>
      </c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5.75" customHeight="1">
      <c r="A27" s="65"/>
      <c r="B27" s="73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5.75" customHeight="1">
      <c r="A28" s="65"/>
      <c r="B28" s="71" t="s">
        <v>122</v>
      </c>
      <c r="C28" s="72">
        <f t="shared" ref="C28:O28" si="5">C26+C18</f>
        <v>18450.54115</v>
      </c>
      <c r="D28" s="72">
        <f t="shared" si="5"/>
        <v>931.53</v>
      </c>
      <c r="E28" s="72">
        <f t="shared" si="5"/>
        <v>906.74</v>
      </c>
      <c r="F28" s="72">
        <f t="shared" si="5"/>
        <v>937.2711538</v>
      </c>
      <c r="G28" s="72">
        <f t="shared" si="5"/>
        <v>1245</v>
      </c>
      <c r="H28" s="72">
        <f t="shared" si="5"/>
        <v>1235</v>
      </c>
      <c r="I28" s="72">
        <f t="shared" si="5"/>
        <v>1245</v>
      </c>
      <c r="J28" s="72">
        <f t="shared" si="5"/>
        <v>1265</v>
      </c>
      <c r="K28" s="72">
        <f t="shared" si="5"/>
        <v>1725</v>
      </c>
      <c r="L28" s="72">
        <f t="shared" si="5"/>
        <v>1580</v>
      </c>
      <c r="M28" s="72">
        <f t="shared" si="5"/>
        <v>1830</v>
      </c>
      <c r="N28" s="72">
        <f t="shared" si="5"/>
        <v>1575</v>
      </c>
      <c r="O28" s="72">
        <f t="shared" si="5"/>
        <v>1775</v>
      </c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5.75" customHeight="1">
      <c r="A29" s="65"/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5.75" customHeight="1">
      <c r="A30" s="65"/>
      <c r="B30" s="68" t="s">
        <v>123</v>
      </c>
      <c r="C30" s="69" t="s">
        <v>124</v>
      </c>
      <c r="D30" s="69" t="s">
        <v>125</v>
      </c>
      <c r="E30" s="69" t="s">
        <v>126</v>
      </c>
      <c r="F30" s="69" t="s">
        <v>127</v>
      </c>
      <c r="G30" s="69" t="s">
        <v>128</v>
      </c>
      <c r="H30" s="69" t="s">
        <v>129</v>
      </c>
      <c r="I30" s="69" t="s">
        <v>130</v>
      </c>
      <c r="J30" s="69" t="s">
        <v>131</v>
      </c>
      <c r="K30" s="69" t="s">
        <v>132</v>
      </c>
      <c r="L30" s="69" t="s">
        <v>133</v>
      </c>
      <c r="M30" s="69" t="s">
        <v>134</v>
      </c>
      <c r="N30" s="69" t="s">
        <v>135</v>
      </c>
      <c r="O30" s="69" t="s">
        <v>136</v>
      </c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5.75" customHeight="1">
      <c r="A31" s="65"/>
      <c r="B31" s="65" t="s">
        <v>108</v>
      </c>
      <c r="C31" s="70">
        <f t="shared" ref="C31:C36" si="6">SUM(D31:O31)</f>
        <v>375</v>
      </c>
      <c r="D31" s="70">
        <v>0.0</v>
      </c>
      <c r="E31" s="70">
        <v>0.0</v>
      </c>
      <c r="F31" s="70">
        <v>0.0</v>
      </c>
      <c r="G31" s="70">
        <v>0.0</v>
      </c>
      <c r="H31" s="70">
        <v>0.0</v>
      </c>
      <c r="I31" s="70">
        <v>0.0</v>
      </c>
      <c r="J31" s="70">
        <v>0.0</v>
      </c>
      <c r="K31" s="70">
        <v>0.0</v>
      </c>
      <c r="L31" s="80">
        <f>Expenditure!E88</f>
        <v>15</v>
      </c>
      <c r="M31" s="70">
        <v>0.0</v>
      </c>
      <c r="N31" s="70">
        <v>0.0</v>
      </c>
      <c r="O31" s="70">
        <f>Expenditure!E120</f>
        <v>360</v>
      </c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5.75" customHeight="1">
      <c r="A32" s="65"/>
      <c r="B32" s="65" t="s">
        <v>90</v>
      </c>
      <c r="C32" s="70">
        <f t="shared" si="6"/>
        <v>55</v>
      </c>
      <c r="D32" s="70">
        <f>Expenditure!E10</f>
        <v>10</v>
      </c>
      <c r="E32" s="70">
        <v>0.0</v>
      </c>
      <c r="F32" s="70">
        <v>0.0</v>
      </c>
      <c r="G32" s="70">
        <v>0.0</v>
      </c>
      <c r="H32" s="70">
        <v>0.0</v>
      </c>
      <c r="I32" s="70">
        <v>0.0</v>
      </c>
      <c r="J32" s="70">
        <f>Expenditure!E72</f>
        <v>10</v>
      </c>
      <c r="K32" s="70">
        <v>0.0</v>
      </c>
      <c r="L32" s="70">
        <f>Expenditure!E90</f>
        <v>15</v>
      </c>
      <c r="M32" s="70">
        <v>0.0</v>
      </c>
      <c r="N32" s="70">
        <v>0.0</v>
      </c>
      <c r="O32" s="70">
        <f>Expenditure!E121</f>
        <v>20</v>
      </c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5.75" customHeight="1">
      <c r="A33" s="65"/>
      <c r="B33" s="65" t="s">
        <v>82</v>
      </c>
      <c r="C33" s="70">
        <f t="shared" si="6"/>
        <v>1960</v>
      </c>
      <c r="D33" s="70">
        <f>Expenditure!E6</f>
        <v>100</v>
      </c>
      <c r="E33" s="70">
        <f>Expenditure!E18+Expenditure!E19</f>
        <v>120</v>
      </c>
      <c r="F33" s="70">
        <f>Expenditure!E28</f>
        <v>100</v>
      </c>
      <c r="G33" s="70">
        <f>Expenditure!E39</f>
        <v>140</v>
      </c>
      <c r="H33" s="70">
        <f>Expenditure!E50</f>
        <v>140</v>
      </c>
      <c r="I33" s="70">
        <f>Expenditure!E59</f>
        <v>140</v>
      </c>
      <c r="J33" s="70">
        <f>Expenditure!E70+Expenditure!E71</f>
        <v>220</v>
      </c>
      <c r="K33" s="70">
        <f>Expenditure!E79</f>
        <v>200</v>
      </c>
      <c r="L33" s="70">
        <f>Expenditure!E89</f>
        <v>200</v>
      </c>
      <c r="M33" s="70">
        <f>Expenditure!E100</f>
        <v>200</v>
      </c>
      <c r="N33" s="70">
        <f>Expenditure!E109</f>
        <v>200</v>
      </c>
      <c r="O33" s="70">
        <f>Expenditure!E119</f>
        <v>200</v>
      </c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5.75" customHeight="1">
      <c r="A34" s="65"/>
      <c r="B34" s="65" t="s">
        <v>85</v>
      </c>
      <c r="C34" s="70">
        <f t="shared" si="6"/>
        <v>937</v>
      </c>
      <c r="D34" s="70">
        <f>Expenditure!E7+Expenditure!E9</f>
        <v>64</v>
      </c>
      <c r="E34" s="70">
        <v>0.0</v>
      </c>
      <c r="F34" s="70">
        <v>0.0</v>
      </c>
      <c r="G34" s="70">
        <v>0.0</v>
      </c>
      <c r="H34" s="70">
        <f>Expenditure!E51+Expenditure!E49</f>
        <v>90</v>
      </c>
      <c r="I34" s="70">
        <v>0.0</v>
      </c>
      <c r="J34" s="70">
        <f>Expenditure!E69</f>
        <v>475</v>
      </c>
      <c r="K34" s="70">
        <f>Expenditure!E80</f>
        <v>285</v>
      </c>
      <c r="L34" s="70">
        <v>0.0</v>
      </c>
      <c r="M34" s="70">
        <f>Expenditure!E99</f>
        <v>23</v>
      </c>
      <c r="N34" s="70">
        <v>0.0</v>
      </c>
      <c r="O34" s="70">
        <v>0.0</v>
      </c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5.75" customHeight="1">
      <c r="A35" s="65"/>
      <c r="B35" s="65" t="s">
        <v>95</v>
      </c>
      <c r="C35" s="70">
        <f t="shared" si="6"/>
        <v>250</v>
      </c>
      <c r="D35" s="70">
        <v>0.0</v>
      </c>
      <c r="E35" s="70">
        <v>0.0</v>
      </c>
      <c r="F35" s="70">
        <f>Expenditure!E29</f>
        <v>250</v>
      </c>
      <c r="G35" s="70">
        <v>0.0</v>
      </c>
      <c r="H35" s="70">
        <v>0.0</v>
      </c>
      <c r="I35" s="70">
        <v>0.0</v>
      </c>
      <c r="J35" s="70">
        <v>0.0</v>
      </c>
      <c r="K35" s="70">
        <v>0.0</v>
      </c>
      <c r="L35" s="70">
        <v>0.0</v>
      </c>
      <c r="M35" s="70">
        <v>0.0</v>
      </c>
      <c r="N35" s="70">
        <v>0.0</v>
      </c>
      <c r="O35" s="70">
        <v>0.0</v>
      </c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5.75" customHeight="1">
      <c r="A36" s="65"/>
      <c r="B36" s="65" t="s">
        <v>87</v>
      </c>
      <c r="C36" s="70">
        <f t="shared" si="6"/>
        <v>158</v>
      </c>
      <c r="D36" s="70">
        <f>Expenditure!E8</f>
        <v>28</v>
      </c>
      <c r="E36" s="70">
        <v>0.0</v>
      </c>
      <c r="F36" s="70">
        <v>0.0</v>
      </c>
      <c r="G36" s="70">
        <v>0.0</v>
      </c>
      <c r="H36" s="70">
        <v>0.0</v>
      </c>
      <c r="I36" s="70">
        <f>Expenditure!E60</f>
        <v>130</v>
      </c>
      <c r="J36" s="70">
        <v>0.0</v>
      </c>
      <c r="K36" s="70">
        <v>0.0</v>
      </c>
      <c r="L36" s="70">
        <v>0.0</v>
      </c>
      <c r="M36" s="70">
        <v>0.0</v>
      </c>
      <c r="N36" s="70">
        <v>0.0</v>
      </c>
      <c r="O36" s="70">
        <v>0.0</v>
      </c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5.75" customHeight="1">
      <c r="A37" s="65"/>
      <c r="B37" s="71" t="s">
        <v>137</v>
      </c>
      <c r="C37" s="72">
        <f t="shared" ref="C37:O37" si="7">SUM(C31:C36)</f>
        <v>3735</v>
      </c>
      <c r="D37" s="72">
        <f t="shared" si="7"/>
        <v>202</v>
      </c>
      <c r="E37" s="72">
        <f t="shared" si="7"/>
        <v>120</v>
      </c>
      <c r="F37" s="72">
        <f t="shared" si="7"/>
        <v>350</v>
      </c>
      <c r="G37" s="72">
        <f t="shared" si="7"/>
        <v>140</v>
      </c>
      <c r="H37" s="72">
        <f t="shared" si="7"/>
        <v>230</v>
      </c>
      <c r="I37" s="72">
        <f t="shared" si="7"/>
        <v>270</v>
      </c>
      <c r="J37" s="72">
        <f t="shared" si="7"/>
        <v>705</v>
      </c>
      <c r="K37" s="72">
        <f t="shared" si="7"/>
        <v>485</v>
      </c>
      <c r="L37" s="72">
        <f t="shared" si="7"/>
        <v>230</v>
      </c>
      <c r="M37" s="72">
        <f t="shared" si="7"/>
        <v>223</v>
      </c>
      <c r="N37" s="72">
        <f t="shared" si="7"/>
        <v>200</v>
      </c>
      <c r="O37" s="72">
        <f t="shared" si="7"/>
        <v>580</v>
      </c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5.75" customHeight="1">
      <c r="A38" s="65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5.75" customHeight="1">
      <c r="A39" s="65"/>
      <c r="B39" s="82" t="s">
        <v>138</v>
      </c>
      <c r="C39" s="83">
        <f t="shared" ref="C39:O39" si="8">C28-C37</f>
        <v>14715.54115</v>
      </c>
      <c r="D39" s="83">
        <f t="shared" si="8"/>
        <v>729.53</v>
      </c>
      <c r="E39" s="83">
        <f t="shared" si="8"/>
        <v>786.74</v>
      </c>
      <c r="F39" s="83">
        <f t="shared" si="8"/>
        <v>587.2711538</v>
      </c>
      <c r="G39" s="83">
        <f t="shared" si="8"/>
        <v>1105</v>
      </c>
      <c r="H39" s="83">
        <f t="shared" si="8"/>
        <v>1005</v>
      </c>
      <c r="I39" s="83">
        <f t="shared" si="8"/>
        <v>975</v>
      </c>
      <c r="J39" s="83">
        <f t="shared" si="8"/>
        <v>560</v>
      </c>
      <c r="K39" s="83">
        <f t="shared" si="8"/>
        <v>1240</v>
      </c>
      <c r="L39" s="83">
        <f t="shared" si="8"/>
        <v>1350</v>
      </c>
      <c r="M39" s="83">
        <f t="shared" si="8"/>
        <v>1607</v>
      </c>
      <c r="N39" s="83">
        <f t="shared" si="8"/>
        <v>1375</v>
      </c>
      <c r="O39" s="83">
        <f t="shared" si="8"/>
        <v>1195</v>
      </c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5.75" customHeight="1">
      <c r="A40" s="65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5.75" customHeight="1">
      <c r="A41" s="65"/>
      <c r="B41" s="84"/>
      <c r="C41" s="85" t="s">
        <v>124</v>
      </c>
      <c r="D41" s="85" t="str">
        <f t="shared" ref="D41:O41" si="9">D30</f>
        <v>JAN</v>
      </c>
      <c r="E41" s="85" t="str">
        <f t="shared" si="9"/>
        <v>FEB</v>
      </c>
      <c r="F41" s="85" t="str">
        <f t="shared" si="9"/>
        <v>MAR</v>
      </c>
      <c r="G41" s="85" t="str">
        <f t="shared" si="9"/>
        <v>APR</v>
      </c>
      <c r="H41" s="85" t="str">
        <f t="shared" si="9"/>
        <v>MAY</v>
      </c>
      <c r="I41" s="85" t="str">
        <f t="shared" si="9"/>
        <v>JUN</v>
      </c>
      <c r="J41" s="85" t="str">
        <f t="shared" si="9"/>
        <v>JUL</v>
      </c>
      <c r="K41" s="85" t="str">
        <f t="shared" si="9"/>
        <v>AUG</v>
      </c>
      <c r="L41" s="85" t="str">
        <f t="shared" si="9"/>
        <v>SEP</v>
      </c>
      <c r="M41" s="85" t="str">
        <f t="shared" si="9"/>
        <v>OCT</v>
      </c>
      <c r="N41" s="85" t="str">
        <f t="shared" si="9"/>
        <v>NOV</v>
      </c>
      <c r="O41" s="85" t="str">
        <f t="shared" si="9"/>
        <v>DEC</v>
      </c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5.75" customHeight="1">
      <c r="A42" s="65"/>
      <c r="B42" s="65" t="s">
        <v>139</v>
      </c>
      <c r="C42" s="70">
        <f>SUM(D42:O42)</f>
        <v>12515</v>
      </c>
      <c r="D42" s="70">
        <f>Expenditure!E11</f>
        <v>729</v>
      </c>
      <c r="E42" s="70">
        <f>Expenditure!E20</f>
        <v>787</v>
      </c>
      <c r="F42" s="70">
        <f>Expenditure!E30</f>
        <v>587</v>
      </c>
      <c r="G42" s="70">
        <f>Expenditure!E40</f>
        <v>1105</v>
      </c>
      <c r="H42" s="70">
        <f>Expenditure!E52</f>
        <v>1005</v>
      </c>
      <c r="I42" s="70">
        <f>Expenditure!E61</f>
        <v>975</v>
      </c>
      <c r="J42" s="70">
        <f>Expenditure!E73</f>
        <v>560</v>
      </c>
      <c r="K42" s="70">
        <f>Expenditure!E81</f>
        <v>1240</v>
      </c>
      <c r="L42" s="70">
        <f>Expenditure!E91</f>
        <v>1350</v>
      </c>
      <c r="M42" s="70">
        <f>Expenditure!E101</f>
        <v>1607</v>
      </c>
      <c r="N42" s="70">
        <f>Expenditure!E110</f>
        <v>1375</v>
      </c>
      <c r="O42" s="70">
        <f>Expenditure!E122</f>
        <v>1195</v>
      </c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5.75" customHeight="1">
      <c r="A43" s="65"/>
      <c r="B43" s="71" t="s">
        <v>140</v>
      </c>
      <c r="C43" s="72">
        <f t="shared" ref="C43:O43" si="10">SUM(C42)</f>
        <v>12515</v>
      </c>
      <c r="D43" s="72">
        <f t="shared" si="10"/>
        <v>729</v>
      </c>
      <c r="E43" s="72">
        <f t="shared" si="10"/>
        <v>787</v>
      </c>
      <c r="F43" s="72">
        <f t="shared" si="10"/>
        <v>587</v>
      </c>
      <c r="G43" s="72">
        <f t="shared" si="10"/>
        <v>1105</v>
      </c>
      <c r="H43" s="72">
        <f t="shared" si="10"/>
        <v>1005</v>
      </c>
      <c r="I43" s="72">
        <f t="shared" si="10"/>
        <v>975</v>
      </c>
      <c r="J43" s="72">
        <f t="shared" si="10"/>
        <v>560</v>
      </c>
      <c r="K43" s="72">
        <f t="shared" si="10"/>
        <v>1240</v>
      </c>
      <c r="L43" s="72">
        <f t="shared" si="10"/>
        <v>1350</v>
      </c>
      <c r="M43" s="72">
        <f t="shared" si="10"/>
        <v>1607</v>
      </c>
      <c r="N43" s="72">
        <f t="shared" si="10"/>
        <v>1375</v>
      </c>
      <c r="O43" s="72">
        <f t="shared" si="10"/>
        <v>1195</v>
      </c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5.75" customHeight="1">
      <c r="A45" s="65"/>
      <c r="B45" s="86" t="s">
        <v>141</v>
      </c>
      <c r="C45" s="87">
        <f t="shared" ref="C45:O45" si="11">C39-C43</f>
        <v>2200.541154</v>
      </c>
      <c r="D45" s="87">
        <f t="shared" si="11"/>
        <v>0.53</v>
      </c>
      <c r="E45" s="87">
        <f t="shared" si="11"/>
        <v>-0.26</v>
      </c>
      <c r="F45" s="87">
        <f t="shared" si="11"/>
        <v>0.2711538462</v>
      </c>
      <c r="G45" s="87">
        <f t="shared" si="11"/>
        <v>0</v>
      </c>
      <c r="H45" s="87">
        <f t="shared" si="11"/>
        <v>0</v>
      </c>
      <c r="I45" s="87">
        <f t="shared" si="11"/>
        <v>0</v>
      </c>
      <c r="J45" s="87">
        <f t="shared" si="11"/>
        <v>0</v>
      </c>
      <c r="K45" s="87">
        <f t="shared" si="11"/>
        <v>0</v>
      </c>
      <c r="L45" s="87">
        <f t="shared" si="11"/>
        <v>0</v>
      </c>
      <c r="M45" s="87">
        <f t="shared" si="11"/>
        <v>0</v>
      </c>
      <c r="N45" s="87">
        <f t="shared" si="11"/>
        <v>0</v>
      </c>
      <c r="O45" s="87">
        <f t="shared" si="11"/>
        <v>0</v>
      </c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5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5.75" customHeight="1">
      <c r="A47" s="65"/>
      <c r="B47" s="65"/>
      <c r="C47" s="70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5.75" customHeight="1">
      <c r="A49" s="65"/>
      <c r="B49" s="65"/>
      <c r="C49" s="65"/>
      <c r="D49" s="70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5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5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5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5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5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5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5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5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5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5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5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5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5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5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5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5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5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5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5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5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5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5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5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5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5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5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5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5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5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5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5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5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5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5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5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5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5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5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5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5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5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5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5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5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5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5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5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5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5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5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5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5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5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5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5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5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5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5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5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5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5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5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5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5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5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5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5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5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5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5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5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5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5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5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5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5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5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5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5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5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5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5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5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5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5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5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5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5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5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5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5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5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5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5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5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5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5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5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5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5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5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5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5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5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5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5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5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5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5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5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5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5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5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5.7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5.7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5.7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5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5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5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5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5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5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5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5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5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5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5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5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5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5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5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5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5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5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5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5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5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5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26" width="11.3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11"/>
    <col customWidth="1" min="2" max="2" width="22.44"/>
    <col customWidth="1" min="3" max="14" width="10.89"/>
    <col customWidth="1" min="15" max="15" width="9.89"/>
    <col customWidth="1" min="16" max="26" width="8.89"/>
  </cols>
  <sheetData>
    <row r="1">
      <c r="A1" s="88"/>
      <c r="B1" s="88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A2" s="90"/>
      <c r="B2" s="90"/>
      <c r="C2" s="91" t="s">
        <v>142</v>
      </c>
      <c r="D2" s="91" t="s">
        <v>52</v>
      </c>
      <c r="E2" s="91" t="s">
        <v>54</v>
      </c>
      <c r="F2" s="91" t="s">
        <v>56</v>
      </c>
      <c r="G2" s="91" t="s">
        <v>58</v>
      </c>
      <c r="H2" s="91" t="s">
        <v>60</v>
      </c>
      <c r="I2" s="91" t="s">
        <v>62</v>
      </c>
      <c r="J2" s="91" t="s">
        <v>64</v>
      </c>
      <c r="K2" s="91" t="s">
        <v>66</v>
      </c>
      <c r="L2" s="91" t="s">
        <v>68</v>
      </c>
      <c r="M2" s="91" t="s">
        <v>70</v>
      </c>
      <c r="N2" s="91" t="s">
        <v>72</v>
      </c>
      <c r="O2" s="90" t="s">
        <v>42</v>
      </c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>
      <c r="A3" s="90"/>
      <c r="B3" s="90" t="s">
        <v>92</v>
      </c>
      <c r="C3" s="91">
        <f>'Income vs Expenditure'!D42</f>
        <v>729</v>
      </c>
      <c r="D3" s="91">
        <f>'Income vs Expenditure'!E42</f>
        <v>787</v>
      </c>
      <c r="E3" s="91">
        <f>'Income vs Expenditure'!F42</f>
        <v>587</v>
      </c>
      <c r="F3" s="91">
        <f>'Income vs Expenditure'!G42</f>
        <v>1105</v>
      </c>
      <c r="G3" s="91">
        <f>'Income vs Expenditure'!H42</f>
        <v>1005</v>
      </c>
      <c r="H3" s="91">
        <f>'Income vs Expenditure'!I42</f>
        <v>975</v>
      </c>
      <c r="I3" s="91">
        <f>'Income vs Expenditure'!J42</f>
        <v>560</v>
      </c>
      <c r="J3" s="91">
        <f>'Income vs Expenditure'!K42</f>
        <v>1240</v>
      </c>
      <c r="K3" s="91">
        <f>'Income vs Expenditure'!L42</f>
        <v>1350</v>
      </c>
      <c r="L3" s="91">
        <f>'Income vs Expenditure'!M42</f>
        <v>1607</v>
      </c>
      <c r="M3" s="91">
        <f>'Income vs Expenditure'!N42</f>
        <v>1375</v>
      </c>
      <c r="N3" s="91">
        <f>'Income vs Expenditure'!O42</f>
        <v>1195</v>
      </c>
      <c r="O3" s="91">
        <f>SUM(C3:N3)</f>
        <v>12515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>
      <c r="A4" s="90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>
      <c r="A5" s="88"/>
      <c r="B5" s="92" t="s">
        <v>143</v>
      </c>
      <c r="C5" s="89">
        <v>50.0</v>
      </c>
      <c r="D5" s="89">
        <v>50.0</v>
      </c>
      <c r="E5" s="89">
        <v>50.0</v>
      </c>
      <c r="F5" s="89">
        <v>50.0</v>
      </c>
      <c r="G5" s="89">
        <v>50.0</v>
      </c>
      <c r="H5" s="89">
        <v>50.0</v>
      </c>
      <c r="I5" s="89">
        <v>50.0</v>
      </c>
      <c r="J5" s="89">
        <v>50.0</v>
      </c>
      <c r="K5" s="89">
        <v>50.0</v>
      </c>
      <c r="L5" s="89">
        <v>50.0</v>
      </c>
      <c r="M5" s="89">
        <v>50.0</v>
      </c>
      <c r="N5" s="89">
        <v>50.0</v>
      </c>
      <c r="O5" s="89">
        <f t="shared" ref="O5:O18" si="1">SUM(C5:N5)</f>
        <v>600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88"/>
      <c r="B6" s="92" t="s">
        <v>144</v>
      </c>
      <c r="C6" s="89"/>
      <c r="D6" s="89"/>
      <c r="E6" s="89"/>
      <c r="F6" s="89"/>
      <c r="G6" s="89"/>
      <c r="H6" s="89">
        <v>20.0</v>
      </c>
      <c r="I6" s="89">
        <v>20.0</v>
      </c>
      <c r="J6" s="89">
        <v>20.0</v>
      </c>
      <c r="K6" s="89">
        <v>20.0</v>
      </c>
      <c r="L6" s="89">
        <v>20.0</v>
      </c>
      <c r="M6" s="89">
        <v>20.0</v>
      </c>
      <c r="N6" s="89">
        <v>20.0</v>
      </c>
      <c r="O6" s="89">
        <f t="shared" si="1"/>
        <v>140</v>
      </c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88"/>
      <c r="B7" s="92" t="s">
        <v>145</v>
      </c>
      <c r="C7" s="89">
        <v>50.0</v>
      </c>
      <c r="D7" s="89">
        <v>50.0</v>
      </c>
      <c r="E7" s="89">
        <v>50.0</v>
      </c>
      <c r="F7" s="89">
        <v>50.0</v>
      </c>
      <c r="G7" s="89">
        <v>50.0</v>
      </c>
      <c r="H7" s="89">
        <v>50.0</v>
      </c>
      <c r="I7" s="89">
        <v>60.0</v>
      </c>
      <c r="J7" s="89"/>
      <c r="K7" s="89">
        <v>60.0</v>
      </c>
      <c r="L7" s="89">
        <v>50.0</v>
      </c>
      <c r="M7" s="89">
        <v>60.0</v>
      </c>
      <c r="N7" s="89">
        <v>60.0</v>
      </c>
      <c r="O7" s="89">
        <f t="shared" si="1"/>
        <v>590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88"/>
      <c r="B8" s="92" t="s">
        <v>146</v>
      </c>
      <c r="C8" s="93">
        <v>72.0</v>
      </c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>
        <f t="shared" si="1"/>
        <v>72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88"/>
      <c r="B9" s="92" t="s">
        <v>147</v>
      </c>
      <c r="C9" s="89"/>
      <c r="D9" s="89"/>
      <c r="E9" s="89"/>
      <c r="F9" s="89"/>
      <c r="G9" s="89"/>
      <c r="H9" s="89"/>
      <c r="I9" s="89"/>
      <c r="J9" s="89"/>
      <c r="K9" s="89">
        <v>91.0</v>
      </c>
      <c r="L9" s="89">
        <v>91.0</v>
      </c>
      <c r="M9" s="89">
        <v>91.0</v>
      </c>
      <c r="N9" s="89">
        <v>91.0</v>
      </c>
      <c r="O9" s="89">
        <f t="shared" si="1"/>
        <v>364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88"/>
      <c r="B10" s="92" t="s">
        <v>148</v>
      </c>
      <c r="C10" s="89">
        <v>106.0</v>
      </c>
      <c r="D10" s="89">
        <v>106.0</v>
      </c>
      <c r="E10" s="89">
        <v>106.0</v>
      </c>
      <c r="F10" s="89">
        <v>40.0</v>
      </c>
      <c r="G10" s="89">
        <v>39.0</v>
      </c>
      <c r="H10" s="89">
        <v>33.0</v>
      </c>
      <c r="I10" s="89">
        <v>104.0</v>
      </c>
      <c r="J10" s="89">
        <v>106.0</v>
      </c>
      <c r="K10" s="89"/>
      <c r="L10" s="89"/>
      <c r="M10" s="89"/>
      <c r="N10" s="89"/>
      <c r="O10" s="89">
        <f t="shared" si="1"/>
        <v>640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88"/>
      <c r="B11" s="92" t="s">
        <v>149</v>
      </c>
      <c r="C11" s="89">
        <v>80.0</v>
      </c>
      <c r="D11" s="89">
        <v>80.0</v>
      </c>
      <c r="E11" s="89">
        <v>80.0</v>
      </c>
      <c r="F11" s="89">
        <v>80.0</v>
      </c>
      <c r="G11" s="89">
        <v>80.0</v>
      </c>
      <c r="H11" s="89">
        <v>80.0</v>
      </c>
      <c r="I11" s="89">
        <v>150.0</v>
      </c>
      <c r="J11" s="89">
        <v>150.0</v>
      </c>
      <c r="K11" s="89">
        <v>112.0</v>
      </c>
      <c r="L11" s="89">
        <v>115.0</v>
      </c>
      <c r="M11" s="89">
        <v>125.0</v>
      </c>
      <c r="N11" s="89">
        <v>125.0</v>
      </c>
      <c r="O11" s="89">
        <f t="shared" si="1"/>
        <v>1257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88"/>
      <c r="B12" s="94" t="s">
        <v>150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>
        <f t="shared" si="1"/>
        <v>0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88"/>
      <c r="B13" s="92" t="s">
        <v>151</v>
      </c>
      <c r="C13" s="89">
        <v>150.0</v>
      </c>
      <c r="D13" s="89">
        <v>150.0</v>
      </c>
      <c r="E13" s="89">
        <v>150.0</v>
      </c>
      <c r="F13" s="89">
        <v>150.0</v>
      </c>
      <c r="G13" s="89">
        <v>150.0</v>
      </c>
      <c r="H13" s="89">
        <v>200.0</v>
      </c>
      <c r="I13" s="89">
        <v>200.0</v>
      </c>
      <c r="J13" s="89">
        <v>150.0</v>
      </c>
      <c r="K13" s="89">
        <v>150.0</v>
      </c>
      <c r="L13" s="89">
        <v>170.0</v>
      </c>
      <c r="M13" s="89">
        <v>150.0</v>
      </c>
      <c r="N13" s="89">
        <v>150.0</v>
      </c>
      <c r="O13" s="89">
        <f t="shared" si="1"/>
        <v>1920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88"/>
      <c r="B14" s="92" t="s">
        <v>152</v>
      </c>
      <c r="C14" s="89">
        <v>130.0</v>
      </c>
      <c r="D14" s="89">
        <v>100.0</v>
      </c>
      <c r="E14" s="89">
        <v>100.0</v>
      </c>
      <c r="F14" s="89">
        <v>100.0</v>
      </c>
      <c r="G14" s="89">
        <v>100.0</v>
      </c>
      <c r="H14" s="89">
        <v>100.0</v>
      </c>
      <c r="I14" s="89">
        <v>100.0</v>
      </c>
      <c r="J14" s="89">
        <v>100.0</v>
      </c>
      <c r="K14" s="89">
        <v>100.0</v>
      </c>
      <c r="L14" s="89">
        <v>110.0</v>
      </c>
      <c r="M14" s="89">
        <v>100.0</v>
      </c>
      <c r="N14" s="89">
        <v>100.0</v>
      </c>
      <c r="O14" s="89">
        <f t="shared" si="1"/>
        <v>1240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88"/>
      <c r="B15" s="92" t="s">
        <v>153</v>
      </c>
      <c r="C15" s="89">
        <v>50.0</v>
      </c>
      <c r="D15" s="89">
        <v>50.0</v>
      </c>
      <c r="E15" s="89">
        <v>50.0</v>
      </c>
      <c r="F15" s="89"/>
      <c r="G15" s="89"/>
      <c r="H15" s="89"/>
      <c r="I15" s="89"/>
      <c r="J15" s="89"/>
      <c r="K15" s="89"/>
      <c r="L15" s="89">
        <v>110.0</v>
      </c>
      <c r="M15" s="89"/>
      <c r="N15" s="89"/>
      <c r="O15" s="89">
        <f t="shared" si="1"/>
        <v>260</v>
      </c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>
      <c r="A16" s="88"/>
      <c r="B16" s="92" t="s">
        <v>154</v>
      </c>
      <c r="C16" s="89"/>
      <c r="D16" s="89"/>
      <c r="E16" s="89"/>
      <c r="F16" s="89"/>
      <c r="G16" s="89"/>
      <c r="H16" s="89"/>
      <c r="I16" s="89"/>
      <c r="J16" s="89"/>
      <c r="K16" s="89"/>
      <c r="L16" s="89">
        <v>120.0</v>
      </c>
      <c r="M16" s="89">
        <v>125.0</v>
      </c>
      <c r="N16" s="89">
        <v>88.0</v>
      </c>
      <c r="O16" s="89">
        <f t="shared" si="1"/>
        <v>333</v>
      </c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>
      <c r="A17" s="88"/>
      <c r="B17" s="92" t="s">
        <v>155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>
        <f t="shared" si="1"/>
        <v>0</v>
      </c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88"/>
      <c r="B18" s="92" t="s">
        <v>156</v>
      </c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>
        <f t="shared" si="1"/>
        <v>0</v>
      </c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88"/>
      <c r="B19" s="88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90"/>
      <c r="B20" s="90" t="s">
        <v>157</v>
      </c>
      <c r="C20" s="91">
        <f t="shared" ref="C20:N20" si="2">SUM(C5:C18)</f>
        <v>688</v>
      </c>
      <c r="D20" s="91">
        <f t="shared" si="2"/>
        <v>586</v>
      </c>
      <c r="E20" s="91">
        <f t="shared" si="2"/>
        <v>586</v>
      </c>
      <c r="F20" s="91">
        <f t="shared" si="2"/>
        <v>470</v>
      </c>
      <c r="G20" s="91">
        <f t="shared" si="2"/>
        <v>469</v>
      </c>
      <c r="H20" s="91">
        <f t="shared" si="2"/>
        <v>533</v>
      </c>
      <c r="I20" s="91">
        <f t="shared" si="2"/>
        <v>684</v>
      </c>
      <c r="J20" s="91">
        <f t="shared" si="2"/>
        <v>576</v>
      </c>
      <c r="K20" s="91">
        <f t="shared" si="2"/>
        <v>583</v>
      </c>
      <c r="L20" s="91">
        <f t="shared" si="2"/>
        <v>836</v>
      </c>
      <c r="M20" s="91">
        <f t="shared" si="2"/>
        <v>721</v>
      </c>
      <c r="N20" s="91">
        <f t="shared" si="2"/>
        <v>684</v>
      </c>
      <c r="O20" s="91">
        <f t="shared" ref="O20:O21" si="4">SUM(C20:N20)</f>
        <v>7416</v>
      </c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5.75" customHeight="1">
      <c r="A21" s="88"/>
      <c r="B21" s="90" t="s">
        <v>158</v>
      </c>
      <c r="C21" s="91">
        <f t="shared" ref="C21:N21" si="3">C3-C20</f>
        <v>41</v>
      </c>
      <c r="D21" s="91">
        <f t="shared" si="3"/>
        <v>201</v>
      </c>
      <c r="E21" s="91">
        <f t="shared" si="3"/>
        <v>1</v>
      </c>
      <c r="F21" s="91">
        <f t="shared" si="3"/>
        <v>635</v>
      </c>
      <c r="G21" s="91">
        <f t="shared" si="3"/>
        <v>536</v>
      </c>
      <c r="H21" s="91">
        <f t="shared" si="3"/>
        <v>442</v>
      </c>
      <c r="I21" s="91">
        <f t="shared" si="3"/>
        <v>-124</v>
      </c>
      <c r="J21" s="91">
        <f t="shared" si="3"/>
        <v>664</v>
      </c>
      <c r="K21" s="91">
        <f t="shared" si="3"/>
        <v>767</v>
      </c>
      <c r="L21" s="91">
        <f t="shared" si="3"/>
        <v>771</v>
      </c>
      <c r="M21" s="91">
        <f t="shared" si="3"/>
        <v>654</v>
      </c>
      <c r="N21" s="91">
        <f t="shared" si="3"/>
        <v>511</v>
      </c>
      <c r="O21" s="91">
        <f t="shared" si="4"/>
        <v>5099</v>
      </c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ht="15.75" customHeight="1">
      <c r="A22" s="88"/>
      <c r="B22" s="88"/>
      <c r="C22" s="89"/>
      <c r="D22" s="89"/>
      <c r="E22" s="89" t="s">
        <v>159</v>
      </c>
      <c r="F22" s="89"/>
      <c r="G22" s="89"/>
      <c r="H22" s="89"/>
      <c r="I22" s="89"/>
      <c r="J22" s="89"/>
      <c r="K22" s="89"/>
      <c r="L22" s="89"/>
      <c r="M22" s="89"/>
      <c r="N22" s="89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ht="15.75" customHeight="1">
      <c r="A23" s="88"/>
      <c r="B23" s="95" t="s">
        <v>160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ht="15.75" customHeight="1">
      <c r="A24" s="88"/>
      <c r="B24" s="88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ht="15.75" customHeight="1">
      <c r="A25" s="88"/>
      <c r="B25" s="88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ht="15.75" customHeight="1">
      <c r="A26" s="88"/>
      <c r="B26" s="88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ht="15.75" customHeight="1">
      <c r="A27" s="88"/>
      <c r="B27" s="88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15.75" customHeight="1">
      <c r="A28" s="88"/>
      <c r="B28" s="88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ht="15.75" customHeight="1">
      <c r="A29" s="88"/>
      <c r="B29" s="88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ht="15.75" customHeight="1">
      <c r="A30" s="88"/>
      <c r="B30" s="88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ht="15.75" customHeight="1">
      <c r="A31" s="88"/>
      <c r="B31" s="88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ht="15.75" customHeight="1">
      <c r="A32" s="88"/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15.75" customHeight="1">
      <c r="A33" s="88"/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ht="15.75" customHeight="1">
      <c r="A34" s="88"/>
      <c r="B34" s="88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ht="15.75" customHeight="1">
      <c r="A35" s="88"/>
      <c r="B35" s="88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ht="15.75" customHeight="1">
      <c r="A36" s="88"/>
      <c r="B36" s="88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ht="15.75" customHeight="1">
      <c r="A37" s="88"/>
      <c r="B37" s="88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ht="15.75" customHeight="1">
      <c r="A38" s="88"/>
      <c r="B38" s="88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ht="15.75" customHeight="1">
      <c r="A39" s="88"/>
      <c r="B39" s="88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ht="15.75" customHeight="1">
      <c r="A40" s="88"/>
      <c r="B40" s="88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ht="15.75" customHeight="1">
      <c r="A41" s="88"/>
      <c r="B41" s="88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ht="15.75" customHeight="1">
      <c r="A42" s="88"/>
      <c r="B42" s="88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ht="15.75" customHeight="1">
      <c r="A43" s="88"/>
      <c r="B43" s="88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ht="15.75" customHeight="1">
      <c r="A44" s="88"/>
      <c r="B44" s="88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ht="15.75" customHeight="1">
      <c r="A45" s="88"/>
      <c r="B45" s="88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ht="15.75" customHeight="1">
      <c r="A46" s="88"/>
      <c r="B46" s="88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ht="15.75" customHeight="1">
      <c r="A47" s="88"/>
      <c r="B47" s="88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ht="15.75" customHeight="1">
      <c r="A48" s="88"/>
      <c r="B48" s="88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ht="15.75" customHeight="1">
      <c r="A49" s="88"/>
      <c r="B49" s="88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ht="15.75" customHeight="1">
      <c r="A50" s="88"/>
      <c r="B50" s="88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ht="15.75" customHeight="1">
      <c r="A51" s="88"/>
      <c r="B51" s="88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ht="15.75" customHeight="1">
      <c r="A52" s="88"/>
      <c r="B52" s="88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ht="15.75" customHeight="1">
      <c r="A53" s="88"/>
      <c r="B53" s="88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ht="15.75" customHeight="1">
      <c r="A54" s="88"/>
      <c r="B54" s="88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ht="15.75" customHeight="1">
      <c r="A55" s="88"/>
      <c r="B55" s="88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ht="15.75" customHeight="1">
      <c r="A56" s="88"/>
      <c r="B56" s="88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ht="15.75" customHeight="1">
      <c r="A57" s="88"/>
      <c r="B57" s="88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ht="15.75" customHeight="1">
      <c r="A58" s="88"/>
      <c r="B58" s="88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ht="15.75" customHeight="1">
      <c r="A59" s="88"/>
      <c r="B59" s="88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ht="15.75" customHeight="1">
      <c r="A60" s="88"/>
      <c r="B60" s="88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ht="15.75" customHeight="1">
      <c r="A61" s="88"/>
      <c r="B61" s="88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ht="15.75" customHeight="1">
      <c r="A62" s="88"/>
      <c r="B62" s="88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ht="15.75" customHeight="1">
      <c r="A63" s="88"/>
      <c r="B63" s="88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ht="15.75" customHeight="1">
      <c r="A64" s="88"/>
      <c r="B64" s="88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ht="15.75" customHeight="1">
      <c r="A65" s="88"/>
      <c r="B65" s="88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ht="15.75" customHeight="1">
      <c r="A66" s="88"/>
      <c r="B66" s="88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ht="15.75" customHeight="1">
      <c r="A67" s="88"/>
      <c r="B67" s="88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ht="15.75" customHeight="1">
      <c r="A68" s="88"/>
      <c r="B68" s="88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ht="15.75" customHeight="1">
      <c r="A69" s="88"/>
      <c r="B69" s="88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ht="15.75" customHeight="1">
      <c r="A70" s="88"/>
      <c r="B70" s="88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ht="15.75" customHeight="1">
      <c r="A71" s="88"/>
      <c r="B71" s="88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ht="15.75" customHeight="1">
      <c r="A72" s="88"/>
      <c r="B72" s="88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ht="15.75" customHeight="1">
      <c r="A73" s="88"/>
      <c r="B73" s="88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ht="15.75" customHeight="1">
      <c r="A74" s="88"/>
      <c r="B74" s="88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ht="15.75" customHeight="1">
      <c r="A75" s="88"/>
      <c r="B75" s="88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ht="15.75" customHeight="1">
      <c r="A76" s="88"/>
      <c r="B76" s="88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ht="15.75" customHeight="1">
      <c r="A77" s="88"/>
      <c r="B77" s="88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ht="15.75" customHeight="1">
      <c r="A78" s="88"/>
      <c r="B78" s="88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ht="15.75" customHeight="1">
      <c r="A79" s="88"/>
      <c r="B79" s="88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ht="15.75" customHeight="1">
      <c r="A80" s="88"/>
      <c r="B80" s="88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ht="15.75" customHeight="1">
      <c r="A81" s="88"/>
      <c r="B81" s="88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ht="15.75" customHeight="1">
      <c r="A82" s="88"/>
      <c r="B82" s="88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ht="15.75" customHeight="1">
      <c r="A83" s="88"/>
      <c r="B83" s="88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ht="15.75" customHeight="1">
      <c r="A84" s="88"/>
      <c r="B84" s="88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ht="15.75" customHeight="1">
      <c r="A85" s="88"/>
      <c r="B85" s="88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ht="15.75" customHeight="1">
      <c r="A86" s="88"/>
      <c r="B86" s="88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ht="15.75" customHeight="1">
      <c r="A87" s="88"/>
      <c r="B87" s="88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ht="15.75" customHeight="1">
      <c r="A88" s="88"/>
      <c r="B88" s="88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ht="15.75" customHeight="1">
      <c r="A89" s="88"/>
      <c r="B89" s="88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ht="15.75" customHeight="1">
      <c r="A90" s="88"/>
      <c r="B90" s="88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ht="15.75" customHeight="1">
      <c r="A91" s="88"/>
      <c r="B91" s="88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ht="15.75" customHeight="1">
      <c r="A92" s="88"/>
      <c r="B92" s="88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ht="15.75" customHeight="1">
      <c r="A93" s="88"/>
      <c r="B93" s="88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ht="15.75" customHeight="1">
      <c r="A94" s="88"/>
      <c r="B94" s="88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ht="15.75" customHeight="1">
      <c r="A95" s="88"/>
      <c r="B95" s="88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ht="15.75" customHeight="1">
      <c r="A96" s="88"/>
      <c r="B96" s="88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t="15.75" customHeight="1">
      <c r="A97" s="88"/>
      <c r="B97" s="88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ht="15.75" customHeight="1">
      <c r="A98" s="88"/>
      <c r="B98" s="88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ht="15.75" customHeight="1">
      <c r="A99" s="88"/>
      <c r="B99" s="88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ht="15.75" customHeight="1">
      <c r="A100" s="88"/>
      <c r="B100" s="88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ht="15.75" customHeight="1">
      <c r="A101" s="88"/>
      <c r="B101" s="88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ht="15.75" customHeight="1">
      <c r="A102" s="88"/>
      <c r="B102" s="88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ht="15.75" customHeight="1">
      <c r="A103" s="88"/>
      <c r="B103" s="88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ht="15.75" customHeight="1">
      <c r="A104" s="88"/>
      <c r="B104" s="88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t="15.75" customHeight="1">
      <c r="A105" s="88"/>
      <c r="B105" s="88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ht="15.75" customHeight="1">
      <c r="A106" s="88"/>
      <c r="B106" s="88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ht="15.75" customHeight="1">
      <c r="A107" s="88"/>
      <c r="B107" s="88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ht="15.75" customHeight="1">
      <c r="A108" s="88"/>
      <c r="B108" s="88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ht="15.75" customHeight="1">
      <c r="A109" s="88"/>
      <c r="B109" s="88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ht="15.75" customHeight="1">
      <c r="A110" s="88"/>
      <c r="B110" s="88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ht="15.75" customHeight="1">
      <c r="A111" s="88"/>
      <c r="B111" s="88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ht="15.75" customHeight="1">
      <c r="A112" s="88"/>
      <c r="B112" s="88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ht="15.75" customHeight="1">
      <c r="A113" s="88"/>
      <c r="B113" s="88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ht="15.75" customHeight="1">
      <c r="A114" s="88"/>
      <c r="B114" s="88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ht="15.75" customHeight="1">
      <c r="A115" s="88"/>
      <c r="B115" s="88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ht="15.75" customHeight="1">
      <c r="A116" s="88"/>
      <c r="B116" s="88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ht="15.75" customHeight="1">
      <c r="A117" s="88"/>
      <c r="B117" s="88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5.75" customHeight="1">
      <c r="A118" s="88"/>
      <c r="B118" s="88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ht="15.75" customHeight="1">
      <c r="A119" s="88"/>
      <c r="B119" s="88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ht="15.75" customHeight="1">
      <c r="A120" s="88"/>
      <c r="B120" s="88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ht="15.75" customHeight="1">
      <c r="A121" s="88"/>
      <c r="B121" s="88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ht="15.75" customHeight="1">
      <c r="A122" s="88"/>
      <c r="B122" s="88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ht="15.75" customHeight="1">
      <c r="A123" s="88"/>
      <c r="B123" s="88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ht="15.75" customHeight="1">
      <c r="A124" s="88"/>
      <c r="B124" s="88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ht="15.75" customHeight="1">
      <c r="A125" s="88"/>
      <c r="B125" s="88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ht="15.75" customHeight="1">
      <c r="A126" s="88"/>
      <c r="B126" s="88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ht="15.75" customHeight="1">
      <c r="A127" s="88"/>
      <c r="B127" s="88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ht="15.75" customHeight="1">
      <c r="A128" s="88"/>
      <c r="B128" s="88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ht="15.75" customHeight="1">
      <c r="A129" s="88"/>
      <c r="B129" s="88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ht="15.75" customHeight="1">
      <c r="A130" s="88"/>
      <c r="B130" s="88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ht="15.75" customHeight="1">
      <c r="A131" s="88"/>
      <c r="B131" s="88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ht="15.75" customHeight="1">
      <c r="A132" s="88"/>
      <c r="B132" s="88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ht="15.75" customHeight="1">
      <c r="A133" s="88"/>
      <c r="B133" s="88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ht="15.75" customHeight="1">
      <c r="A134" s="88"/>
      <c r="B134" s="88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ht="15.75" customHeight="1">
      <c r="A135" s="88"/>
      <c r="B135" s="88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ht="15.75" customHeight="1">
      <c r="A136" s="88"/>
      <c r="B136" s="88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ht="15.75" customHeight="1">
      <c r="A137" s="88"/>
      <c r="B137" s="88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ht="15.75" customHeight="1">
      <c r="A138" s="88"/>
      <c r="B138" s="88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ht="15.75" customHeight="1">
      <c r="A139" s="88"/>
      <c r="B139" s="88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ht="15.75" customHeight="1">
      <c r="A140" s="88"/>
      <c r="B140" s="88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ht="15.75" customHeight="1">
      <c r="A141" s="88"/>
      <c r="B141" s="88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ht="15.75" customHeight="1">
      <c r="A142" s="88"/>
      <c r="B142" s="88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ht="15.75" customHeight="1">
      <c r="A143" s="88"/>
      <c r="B143" s="88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ht="15.75" customHeight="1">
      <c r="A144" s="88"/>
      <c r="B144" s="88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ht="15.75" customHeight="1">
      <c r="A145" s="88"/>
      <c r="B145" s="88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ht="15.75" customHeight="1">
      <c r="A146" s="88"/>
      <c r="B146" s="88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ht="15.75" customHeight="1">
      <c r="A147" s="88"/>
      <c r="B147" s="88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ht="15.75" customHeight="1">
      <c r="A148" s="88"/>
      <c r="B148" s="88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ht="15.75" customHeight="1">
      <c r="A149" s="88"/>
      <c r="B149" s="88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ht="15.75" customHeight="1">
      <c r="A150" s="88"/>
      <c r="B150" s="88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ht="15.75" customHeight="1">
      <c r="A151" s="88"/>
      <c r="B151" s="88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ht="15.75" customHeight="1">
      <c r="A152" s="88"/>
      <c r="B152" s="88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ht="15.75" customHeight="1">
      <c r="A153" s="88"/>
      <c r="B153" s="88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ht="15.75" customHeight="1">
      <c r="A154" s="88"/>
      <c r="B154" s="88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ht="15.75" customHeight="1">
      <c r="A155" s="88"/>
      <c r="B155" s="88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ht="15.75" customHeight="1">
      <c r="A156" s="88"/>
      <c r="B156" s="88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ht="15.75" customHeight="1">
      <c r="A157" s="88"/>
      <c r="B157" s="88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ht="15.75" customHeight="1">
      <c r="A158" s="88"/>
      <c r="B158" s="88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ht="15.75" customHeight="1">
      <c r="A159" s="88"/>
      <c r="B159" s="88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ht="15.75" customHeight="1">
      <c r="A160" s="88"/>
      <c r="B160" s="88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ht="15.75" customHeight="1">
      <c r="A161" s="88"/>
      <c r="B161" s="88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ht="15.75" customHeight="1">
      <c r="A162" s="88"/>
      <c r="B162" s="88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ht="15.75" customHeight="1">
      <c r="A163" s="88"/>
      <c r="B163" s="88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ht="15.75" customHeight="1">
      <c r="A164" s="88"/>
      <c r="B164" s="88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ht="15.75" customHeight="1">
      <c r="A165" s="88"/>
      <c r="B165" s="88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ht="15.75" customHeight="1">
      <c r="A166" s="88"/>
      <c r="B166" s="88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ht="15.75" customHeight="1">
      <c r="A167" s="88"/>
      <c r="B167" s="88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ht="15.75" customHeight="1">
      <c r="A168" s="88"/>
      <c r="B168" s="88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ht="15.75" customHeight="1">
      <c r="A169" s="88"/>
      <c r="B169" s="88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ht="15.75" customHeight="1">
      <c r="A170" s="88"/>
      <c r="B170" s="88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ht="15.75" customHeight="1">
      <c r="A171" s="88"/>
      <c r="B171" s="88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ht="15.75" customHeight="1">
      <c r="A172" s="88"/>
      <c r="B172" s="88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ht="15.75" customHeight="1">
      <c r="A173" s="88"/>
      <c r="B173" s="88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ht="15.75" customHeight="1">
      <c r="A174" s="88"/>
      <c r="B174" s="88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ht="15.75" customHeight="1">
      <c r="A175" s="88"/>
      <c r="B175" s="88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ht="15.75" customHeight="1">
      <c r="A176" s="88"/>
      <c r="B176" s="88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ht="15.75" customHeight="1">
      <c r="A177" s="88"/>
      <c r="B177" s="88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ht="15.75" customHeight="1">
      <c r="A178" s="88"/>
      <c r="B178" s="88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ht="15.75" customHeight="1">
      <c r="A179" s="88"/>
      <c r="B179" s="88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ht="15.75" customHeight="1">
      <c r="A180" s="88"/>
      <c r="B180" s="88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ht="15.75" customHeight="1">
      <c r="A181" s="88"/>
      <c r="B181" s="88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ht="15.75" customHeight="1">
      <c r="A182" s="88"/>
      <c r="B182" s="88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ht="15.75" customHeight="1">
      <c r="A183" s="88"/>
      <c r="B183" s="88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ht="15.75" customHeight="1">
      <c r="A184" s="88"/>
      <c r="B184" s="88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ht="15.75" customHeight="1">
      <c r="A185" s="88"/>
      <c r="B185" s="88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ht="15.75" customHeight="1">
      <c r="A186" s="88"/>
      <c r="B186" s="88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15.75" customHeight="1">
      <c r="A187" s="88"/>
      <c r="B187" s="88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ht="15.75" customHeight="1">
      <c r="A188" s="88"/>
      <c r="B188" s="88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ht="15.75" customHeight="1">
      <c r="A189" s="88"/>
      <c r="B189" s="88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ht="15.75" customHeight="1">
      <c r="A190" s="88"/>
      <c r="B190" s="88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5.75" customHeight="1">
      <c r="A191" s="88"/>
      <c r="B191" s="88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ht="15.75" customHeight="1">
      <c r="A192" s="88"/>
      <c r="B192" s="88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ht="15.75" customHeight="1">
      <c r="A193" s="88"/>
      <c r="B193" s="88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ht="15.75" customHeight="1">
      <c r="A194" s="88"/>
      <c r="B194" s="88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5.75" customHeight="1">
      <c r="A195" s="88"/>
      <c r="B195" s="88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ht="15.75" customHeight="1">
      <c r="A196" s="88"/>
      <c r="B196" s="88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5.75" customHeight="1">
      <c r="A197" s="88"/>
      <c r="B197" s="88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ht="15.75" customHeight="1">
      <c r="A198" s="88"/>
      <c r="B198" s="88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ht="15.75" customHeight="1">
      <c r="A199" s="88"/>
      <c r="B199" s="88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ht="15.75" customHeight="1">
      <c r="A200" s="88"/>
      <c r="B200" s="88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5.75" customHeight="1">
      <c r="A201" s="88"/>
      <c r="B201" s="88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ht="15.75" customHeight="1">
      <c r="A202" s="88"/>
      <c r="B202" s="88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5.75" customHeight="1">
      <c r="A203" s="88"/>
      <c r="B203" s="88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ht="15.75" customHeight="1">
      <c r="A204" s="88"/>
      <c r="B204" s="88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ht="15.75" customHeight="1">
      <c r="A205" s="88"/>
      <c r="B205" s="88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ht="15.75" customHeight="1">
      <c r="A206" s="88"/>
      <c r="B206" s="88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5.75" customHeight="1">
      <c r="A207" s="88"/>
      <c r="B207" s="88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ht="15.75" customHeight="1">
      <c r="A208" s="88"/>
      <c r="B208" s="88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5.75" customHeight="1">
      <c r="A209" s="88"/>
      <c r="B209" s="88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ht="15.75" customHeight="1">
      <c r="A210" s="88"/>
      <c r="B210" s="88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ht="15.75" customHeight="1">
      <c r="A211" s="88"/>
      <c r="B211" s="88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ht="15.75" customHeight="1">
      <c r="A212" s="88"/>
      <c r="B212" s="88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ht="15.75" customHeight="1">
      <c r="A213" s="88"/>
      <c r="B213" s="88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ht="15.75" customHeight="1">
      <c r="A214" s="88"/>
      <c r="B214" s="88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ht="15.75" customHeight="1">
      <c r="A215" s="88"/>
      <c r="B215" s="88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ht="15.75" customHeight="1">
      <c r="A216" s="88"/>
      <c r="B216" s="88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ht="15.75" customHeight="1">
      <c r="A217" s="88"/>
      <c r="B217" s="88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ht="15.75" customHeight="1">
      <c r="A218" s="88"/>
      <c r="B218" s="88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ht="15.75" customHeight="1">
      <c r="A219" s="88"/>
      <c r="B219" s="88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ht="15.75" customHeight="1">
      <c r="A220" s="88"/>
      <c r="B220" s="88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ht="15.75" customHeight="1">
      <c r="A221" s="88"/>
      <c r="B221" s="88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ht="15.75" customHeight="1">
      <c r="A222" s="88"/>
      <c r="B222" s="88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ht="15.75" customHeight="1">
      <c r="A223" s="88"/>
      <c r="B223" s="88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ht="15.75" customHeight="1">
      <c r="A224" s="88"/>
      <c r="B224" s="88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ht="15.75" customHeight="1">
      <c r="A225" s="88"/>
      <c r="B225" s="88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ht="15.75" customHeight="1">
      <c r="A226" s="88"/>
      <c r="B226" s="88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ht="15.75" customHeight="1">
      <c r="A227" s="88"/>
      <c r="B227" s="88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ht="15.75" customHeight="1">
      <c r="A228" s="88"/>
      <c r="B228" s="88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ht="15.75" customHeight="1">
      <c r="A229" s="88"/>
      <c r="B229" s="88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ht="15.75" customHeight="1">
      <c r="A230" s="88"/>
      <c r="B230" s="88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ht="15.75" customHeight="1">
      <c r="A231" s="88"/>
      <c r="B231" s="88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ht="15.75" customHeight="1">
      <c r="A232" s="88"/>
      <c r="B232" s="88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ht="15.75" customHeight="1">
      <c r="A233" s="88"/>
      <c r="B233" s="88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ht="15.75" customHeight="1">
      <c r="A234" s="88"/>
      <c r="B234" s="88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ht="15.75" customHeight="1">
      <c r="A235" s="88"/>
      <c r="B235" s="88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ht="15.75" customHeight="1">
      <c r="A236" s="88"/>
      <c r="B236" s="88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ht="15.75" customHeight="1">
      <c r="A237" s="88"/>
      <c r="B237" s="88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ht="15.75" customHeight="1">
      <c r="A238" s="88"/>
      <c r="B238" s="88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ht="15.75" customHeight="1">
      <c r="A239" s="88"/>
      <c r="B239" s="88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ht="15.75" customHeight="1">
      <c r="A240" s="88"/>
      <c r="B240" s="88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ht="15.75" customHeight="1">
      <c r="A241" s="88"/>
      <c r="B241" s="88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ht="15.75" customHeight="1">
      <c r="A242" s="88"/>
      <c r="B242" s="88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ht="15.75" customHeight="1">
      <c r="A243" s="88"/>
      <c r="B243" s="88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ht="15.75" customHeight="1">
      <c r="A244" s="88"/>
      <c r="B244" s="88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ht="15.75" customHeight="1">
      <c r="A245" s="88"/>
      <c r="B245" s="88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ht="15.75" customHeight="1">
      <c r="A246" s="88"/>
      <c r="B246" s="88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ht="15.75" customHeight="1">
      <c r="A247" s="88"/>
      <c r="B247" s="88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ht="15.75" customHeight="1">
      <c r="A248" s="88"/>
      <c r="B248" s="88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ht="15.75" customHeight="1">
      <c r="A249" s="88"/>
      <c r="B249" s="88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ht="15.75" customHeight="1">
      <c r="A250" s="88"/>
      <c r="B250" s="88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ht="15.75" customHeight="1">
      <c r="A251" s="88"/>
      <c r="B251" s="88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ht="15.75" customHeight="1">
      <c r="A252" s="88"/>
      <c r="B252" s="88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ht="15.75" customHeight="1">
      <c r="A253" s="88"/>
      <c r="B253" s="88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ht="15.75" customHeight="1">
      <c r="A254" s="88"/>
      <c r="B254" s="88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ht="15.75" customHeight="1">
      <c r="A255" s="88"/>
      <c r="B255" s="88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ht="15.75" customHeight="1">
      <c r="A256" s="88"/>
      <c r="B256" s="88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ht="15.75" customHeight="1">
      <c r="A257" s="88"/>
      <c r="B257" s="88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ht="15.75" customHeight="1">
      <c r="A258" s="88"/>
      <c r="B258" s="88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ht="15.75" customHeight="1">
      <c r="A259" s="88"/>
      <c r="B259" s="88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ht="15.75" customHeight="1">
      <c r="A260" s="88"/>
      <c r="B260" s="88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ht="15.75" customHeight="1">
      <c r="A261" s="88"/>
      <c r="B261" s="88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ht="15.75" customHeight="1">
      <c r="A262" s="88"/>
      <c r="B262" s="88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ht="15.75" customHeight="1">
      <c r="A263" s="88"/>
      <c r="B263" s="88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ht="15.75" customHeight="1">
      <c r="A264" s="88"/>
      <c r="B264" s="88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ht="15.75" customHeight="1">
      <c r="A265" s="88"/>
      <c r="B265" s="88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ht="15.75" customHeight="1">
      <c r="A266" s="88"/>
      <c r="B266" s="88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ht="15.75" customHeight="1">
      <c r="A267" s="88"/>
      <c r="B267" s="88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ht="15.75" customHeight="1">
      <c r="A268" s="88"/>
      <c r="B268" s="88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ht="15.75" customHeight="1">
      <c r="A269" s="88"/>
      <c r="B269" s="88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ht="15.75" customHeight="1">
      <c r="A270" s="88"/>
      <c r="B270" s="88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ht="15.75" customHeight="1">
      <c r="A271" s="88"/>
      <c r="B271" s="88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ht="15.75" customHeight="1">
      <c r="A272" s="88"/>
      <c r="B272" s="88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ht="15.75" customHeight="1">
      <c r="A273" s="88"/>
      <c r="B273" s="88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ht="15.75" customHeight="1">
      <c r="A274" s="88"/>
      <c r="B274" s="88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ht="15.75" customHeight="1">
      <c r="A275" s="88"/>
      <c r="B275" s="88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ht="15.75" customHeight="1">
      <c r="A276" s="88"/>
      <c r="B276" s="88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ht="15.75" customHeight="1">
      <c r="A277" s="88"/>
      <c r="B277" s="88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ht="15.75" customHeight="1">
      <c r="A278" s="88"/>
      <c r="B278" s="88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ht="15.75" customHeight="1">
      <c r="A279" s="88"/>
      <c r="B279" s="88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ht="15.75" customHeight="1">
      <c r="A280" s="88"/>
      <c r="B280" s="88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ht="15.75" customHeight="1">
      <c r="A281" s="88"/>
      <c r="B281" s="88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ht="15.75" customHeight="1">
      <c r="A282" s="88"/>
      <c r="B282" s="88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ht="15.75" customHeight="1">
      <c r="A283" s="88"/>
      <c r="B283" s="88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ht="15.75" customHeight="1">
      <c r="A284" s="88"/>
      <c r="B284" s="88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ht="15.75" customHeight="1">
      <c r="A285" s="88"/>
      <c r="B285" s="88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ht="15.75" customHeight="1">
      <c r="A286" s="88"/>
      <c r="B286" s="88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ht="15.75" customHeight="1">
      <c r="A287" s="88"/>
      <c r="B287" s="88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ht="15.75" customHeight="1">
      <c r="A288" s="88"/>
      <c r="B288" s="88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ht="15.75" customHeight="1">
      <c r="A289" s="88"/>
      <c r="B289" s="88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ht="15.75" customHeight="1">
      <c r="A290" s="88"/>
      <c r="B290" s="88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ht="15.75" customHeight="1">
      <c r="A291" s="88"/>
      <c r="B291" s="88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ht="15.75" customHeight="1">
      <c r="A292" s="88"/>
      <c r="B292" s="88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ht="15.75" customHeight="1">
      <c r="A293" s="88"/>
      <c r="B293" s="88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ht="15.75" customHeight="1">
      <c r="A294" s="88"/>
      <c r="B294" s="88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ht="15.75" customHeight="1">
      <c r="A295" s="88"/>
      <c r="B295" s="88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ht="15.75" customHeight="1">
      <c r="A296" s="88"/>
      <c r="B296" s="88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ht="15.75" customHeight="1">
      <c r="A297" s="88"/>
      <c r="B297" s="88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ht="15.75" customHeight="1">
      <c r="A298" s="88"/>
      <c r="B298" s="88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ht="15.75" customHeight="1">
      <c r="A299" s="88"/>
      <c r="B299" s="88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ht="15.75" customHeight="1">
      <c r="A300" s="88"/>
      <c r="B300" s="88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ht="15.75" customHeight="1">
      <c r="A301" s="88"/>
      <c r="B301" s="88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ht="15.75" customHeight="1">
      <c r="A302" s="88"/>
      <c r="B302" s="88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ht="15.75" customHeight="1">
      <c r="A303" s="88"/>
      <c r="B303" s="88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ht="15.75" customHeight="1">
      <c r="A304" s="88"/>
      <c r="B304" s="88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ht="15.75" customHeight="1">
      <c r="A305" s="88"/>
      <c r="B305" s="88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ht="15.75" customHeight="1">
      <c r="A306" s="88"/>
      <c r="B306" s="88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ht="15.75" customHeight="1">
      <c r="A307" s="88"/>
      <c r="B307" s="88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ht="15.75" customHeight="1">
      <c r="A308" s="88"/>
      <c r="B308" s="88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ht="15.75" customHeight="1">
      <c r="A309" s="88"/>
      <c r="B309" s="88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ht="15.75" customHeight="1">
      <c r="A310" s="88"/>
      <c r="B310" s="88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ht="15.75" customHeight="1">
      <c r="A311" s="88"/>
      <c r="B311" s="88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ht="15.75" customHeight="1">
      <c r="A312" s="88"/>
      <c r="B312" s="88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ht="15.75" customHeight="1">
      <c r="A313" s="88"/>
      <c r="B313" s="88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ht="15.75" customHeight="1">
      <c r="A314" s="88"/>
      <c r="B314" s="88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ht="15.75" customHeight="1">
      <c r="A315" s="88"/>
      <c r="B315" s="88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ht="15.75" customHeight="1">
      <c r="A316" s="88"/>
      <c r="B316" s="88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ht="15.75" customHeight="1">
      <c r="A317" s="88"/>
      <c r="B317" s="88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ht="15.75" customHeight="1">
      <c r="A318" s="88"/>
      <c r="B318" s="88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ht="15.75" customHeight="1">
      <c r="A319" s="88"/>
      <c r="B319" s="88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ht="15.75" customHeight="1">
      <c r="A320" s="88"/>
      <c r="B320" s="88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ht="15.75" customHeight="1">
      <c r="A321" s="88"/>
      <c r="B321" s="88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ht="15.75" customHeight="1">
      <c r="A322" s="88"/>
      <c r="B322" s="88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ht="15.75" customHeight="1">
      <c r="A323" s="88"/>
      <c r="B323" s="88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ht="15.75" customHeight="1">
      <c r="A324" s="88"/>
      <c r="B324" s="88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ht="15.75" customHeight="1">
      <c r="A325" s="88"/>
      <c r="B325" s="88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ht="15.75" customHeight="1">
      <c r="A326" s="88"/>
      <c r="B326" s="88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t="15.75" customHeight="1">
      <c r="A327" s="88"/>
      <c r="B327" s="88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ht="15.75" customHeight="1">
      <c r="A328" s="88"/>
      <c r="B328" s="88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ht="15.75" customHeight="1">
      <c r="A329" s="88"/>
      <c r="B329" s="88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ht="15.75" customHeight="1">
      <c r="A330" s="88"/>
      <c r="B330" s="88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ht="15.75" customHeight="1">
      <c r="A331" s="88"/>
      <c r="B331" s="88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ht="15.75" customHeight="1">
      <c r="A332" s="88"/>
      <c r="B332" s="88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ht="15.75" customHeight="1">
      <c r="A333" s="88"/>
      <c r="B333" s="88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ht="15.75" customHeight="1">
      <c r="A334" s="88"/>
      <c r="B334" s="88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t="15.75" customHeight="1">
      <c r="A335" s="88"/>
      <c r="B335" s="88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ht="15.75" customHeight="1">
      <c r="A336" s="88"/>
      <c r="B336" s="88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ht="15.75" customHeight="1">
      <c r="A337" s="88"/>
      <c r="B337" s="88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ht="15.75" customHeight="1">
      <c r="A338" s="88"/>
      <c r="B338" s="88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ht="15.75" customHeight="1">
      <c r="A339" s="88"/>
      <c r="B339" s="88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ht="15.75" customHeight="1">
      <c r="A340" s="88"/>
      <c r="B340" s="88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ht="15.75" customHeight="1">
      <c r="A341" s="88"/>
      <c r="B341" s="88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ht="15.75" customHeight="1">
      <c r="A342" s="88"/>
      <c r="B342" s="88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t="15.75" customHeight="1">
      <c r="A343" s="88"/>
      <c r="B343" s="88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ht="15.75" customHeight="1">
      <c r="A344" s="88"/>
      <c r="B344" s="88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ht="15.75" customHeight="1">
      <c r="A345" s="88"/>
      <c r="B345" s="88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ht="15.75" customHeight="1">
      <c r="A346" s="88"/>
      <c r="B346" s="88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ht="15.75" customHeight="1">
      <c r="A347" s="88"/>
      <c r="B347" s="88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ht="15.75" customHeight="1">
      <c r="A348" s="88"/>
      <c r="B348" s="88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ht="15.75" customHeight="1">
      <c r="A349" s="88"/>
      <c r="B349" s="88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ht="15.75" customHeight="1">
      <c r="A350" s="88"/>
      <c r="B350" s="88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ht="15.75" customHeight="1">
      <c r="A351" s="88"/>
      <c r="B351" s="88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ht="15.75" customHeight="1">
      <c r="A352" s="88"/>
      <c r="B352" s="88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ht="15.75" customHeight="1">
      <c r="A353" s="88"/>
      <c r="B353" s="88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ht="15.75" customHeight="1">
      <c r="A354" s="88"/>
      <c r="B354" s="88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ht="15.75" customHeight="1">
      <c r="A355" s="88"/>
      <c r="B355" s="88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ht="15.75" customHeight="1">
      <c r="A356" s="88"/>
      <c r="B356" s="88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ht="15.75" customHeight="1">
      <c r="A357" s="88"/>
      <c r="B357" s="88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ht="15.75" customHeight="1">
      <c r="A358" s="88"/>
      <c r="B358" s="88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ht="15.75" customHeight="1">
      <c r="A359" s="88"/>
      <c r="B359" s="88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ht="15.75" customHeight="1">
      <c r="A360" s="88"/>
      <c r="B360" s="88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ht="15.75" customHeight="1">
      <c r="A361" s="88"/>
      <c r="B361" s="88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ht="15.75" customHeight="1">
      <c r="A362" s="88"/>
      <c r="B362" s="88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ht="15.75" customHeight="1">
      <c r="A363" s="88"/>
      <c r="B363" s="88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ht="15.75" customHeight="1">
      <c r="A364" s="88"/>
      <c r="B364" s="88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ht="15.75" customHeight="1">
      <c r="A365" s="88"/>
      <c r="B365" s="88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ht="15.75" customHeight="1">
      <c r="A366" s="88"/>
      <c r="B366" s="88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ht="15.75" customHeight="1">
      <c r="A367" s="88"/>
      <c r="B367" s="88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ht="15.75" customHeight="1">
      <c r="A368" s="88"/>
      <c r="B368" s="88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ht="15.75" customHeight="1">
      <c r="A369" s="88"/>
      <c r="B369" s="88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ht="15.75" customHeight="1">
      <c r="A370" s="88"/>
      <c r="B370" s="88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ht="15.75" customHeight="1">
      <c r="A371" s="88"/>
      <c r="B371" s="88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ht="15.75" customHeight="1">
      <c r="A372" s="88"/>
      <c r="B372" s="88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ht="15.75" customHeight="1">
      <c r="A373" s="88"/>
      <c r="B373" s="88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ht="15.75" customHeight="1">
      <c r="A374" s="88"/>
      <c r="B374" s="88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ht="15.75" customHeight="1">
      <c r="A375" s="88"/>
      <c r="B375" s="88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ht="15.75" customHeight="1">
      <c r="A376" s="88"/>
      <c r="B376" s="88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ht="15.75" customHeight="1">
      <c r="A377" s="88"/>
      <c r="B377" s="88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ht="15.75" customHeight="1">
      <c r="A378" s="88"/>
      <c r="B378" s="88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ht="15.75" customHeight="1">
      <c r="A379" s="88"/>
      <c r="B379" s="88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ht="15.75" customHeight="1">
      <c r="A380" s="88"/>
      <c r="B380" s="88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ht="15.75" customHeight="1">
      <c r="A381" s="88"/>
      <c r="B381" s="88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ht="15.75" customHeight="1">
      <c r="A382" s="88"/>
      <c r="B382" s="88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ht="15.75" customHeight="1">
      <c r="A383" s="88"/>
      <c r="B383" s="88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ht="15.75" customHeight="1">
      <c r="A384" s="88"/>
      <c r="B384" s="88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ht="15.75" customHeight="1">
      <c r="A385" s="88"/>
      <c r="B385" s="88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ht="15.75" customHeight="1">
      <c r="A386" s="88"/>
      <c r="B386" s="88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ht="15.75" customHeight="1">
      <c r="A387" s="88"/>
      <c r="B387" s="88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ht="15.75" customHeight="1">
      <c r="A388" s="88"/>
      <c r="B388" s="88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ht="15.75" customHeight="1">
      <c r="A389" s="88"/>
      <c r="B389" s="88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ht="15.75" customHeight="1">
      <c r="A390" s="88"/>
      <c r="B390" s="88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ht="15.75" customHeight="1">
      <c r="A391" s="88"/>
      <c r="B391" s="88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ht="15.75" customHeight="1">
      <c r="A392" s="88"/>
      <c r="B392" s="88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ht="15.75" customHeight="1">
      <c r="A393" s="88"/>
      <c r="B393" s="88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ht="15.75" customHeight="1">
      <c r="A394" s="88"/>
      <c r="B394" s="88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ht="15.75" customHeight="1">
      <c r="A395" s="88"/>
      <c r="B395" s="88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ht="15.75" customHeight="1">
      <c r="A396" s="88"/>
      <c r="B396" s="88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ht="15.75" customHeight="1">
      <c r="A397" s="88"/>
      <c r="B397" s="88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ht="15.75" customHeight="1">
      <c r="A398" s="88"/>
      <c r="B398" s="88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ht="15.75" customHeight="1">
      <c r="A399" s="88"/>
      <c r="B399" s="88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ht="15.75" customHeight="1">
      <c r="A400" s="88"/>
      <c r="B400" s="88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ht="15.75" customHeight="1">
      <c r="A401" s="88"/>
      <c r="B401" s="88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ht="15.75" customHeight="1">
      <c r="A402" s="88"/>
      <c r="B402" s="88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ht="15.75" customHeight="1">
      <c r="A403" s="88"/>
      <c r="B403" s="88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ht="15.75" customHeight="1">
      <c r="A404" s="88"/>
      <c r="B404" s="88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ht="15.75" customHeight="1">
      <c r="A405" s="88"/>
      <c r="B405" s="88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ht="15.75" customHeight="1">
      <c r="A406" s="88"/>
      <c r="B406" s="88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ht="15.75" customHeight="1">
      <c r="A407" s="88"/>
      <c r="B407" s="88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ht="15.75" customHeight="1">
      <c r="A408" s="88"/>
      <c r="B408" s="88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ht="15.75" customHeight="1">
      <c r="A409" s="88"/>
      <c r="B409" s="88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ht="15.75" customHeight="1">
      <c r="A410" s="88"/>
      <c r="B410" s="88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ht="15.75" customHeight="1">
      <c r="A411" s="88"/>
      <c r="B411" s="88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ht="15.75" customHeight="1">
      <c r="A412" s="88"/>
      <c r="B412" s="88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ht="15.75" customHeight="1">
      <c r="A413" s="88"/>
      <c r="B413" s="88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ht="15.75" customHeight="1">
      <c r="A414" s="88"/>
      <c r="B414" s="88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ht="15.75" customHeight="1">
      <c r="A415" s="88"/>
      <c r="B415" s="88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ht="15.75" customHeight="1">
      <c r="A416" s="88"/>
      <c r="B416" s="88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ht="15.75" customHeight="1">
      <c r="A417" s="88"/>
      <c r="B417" s="88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ht="15.75" customHeight="1">
      <c r="A418" s="88"/>
      <c r="B418" s="88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ht="15.75" customHeight="1">
      <c r="A419" s="88"/>
      <c r="B419" s="88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ht="15.75" customHeight="1">
      <c r="A420" s="88"/>
      <c r="B420" s="88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ht="15.75" customHeight="1">
      <c r="A421" s="88"/>
      <c r="B421" s="88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ht="15.75" customHeight="1">
      <c r="A422" s="88"/>
      <c r="B422" s="88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ht="15.75" customHeight="1">
      <c r="A423" s="88"/>
      <c r="B423" s="88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ht="15.75" customHeight="1">
      <c r="A424" s="88"/>
      <c r="B424" s="88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ht="15.75" customHeight="1">
      <c r="A425" s="88"/>
      <c r="B425" s="88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ht="15.75" customHeight="1">
      <c r="A426" s="88"/>
      <c r="B426" s="88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ht="15.75" customHeight="1">
      <c r="A427" s="88"/>
      <c r="B427" s="88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ht="15.75" customHeight="1">
      <c r="A428" s="88"/>
      <c r="B428" s="88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ht="15.75" customHeight="1">
      <c r="A429" s="88"/>
      <c r="B429" s="88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ht="15.75" customHeight="1">
      <c r="A430" s="88"/>
      <c r="B430" s="88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ht="15.75" customHeight="1">
      <c r="A431" s="88"/>
      <c r="B431" s="88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ht="15.75" customHeight="1">
      <c r="A432" s="88"/>
      <c r="B432" s="88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ht="15.75" customHeight="1">
      <c r="A433" s="88"/>
      <c r="B433" s="88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ht="15.75" customHeight="1">
      <c r="A434" s="88"/>
      <c r="B434" s="88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ht="15.75" customHeight="1">
      <c r="A435" s="88"/>
      <c r="B435" s="88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ht="15.75" customHeight="1">
      <c r="A436" s="88"/>
      <c r="B436" s="88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ht="15.75" customHeight="1">
      <c r="A437" s="88"/>
      <c r="B437" s="88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ht="15.75" customHeight="1">
      <c r="A438" s="88"/>
      <c r="B438" s="88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ht="15.75" customHeight="1">
      <c r="A439" s="88"/>
      <c r="B439" s="88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ht="15.75" customHeight="1">
      <c r="A440" s="88"/>
      <c r="B440" s="88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ht="15.75" customHeight="1">
      <c r="A441" s="88"/>
      <c r="B441" s="88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ht="15.75" customHeight="1">
      <c r="A442" s="88"/>
      <c r="B442" s="88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ht="15.75" customHeight="1">
      <c r="A443" s="88"/>
      <c r="B443" s="88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ht="15.75" customHeight="1">
      <c r="A444" s="88"/>
      <c r="B444" s="88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ht="15.75" customHeight="1">
      <c r="A445" s="88"/>
      <c r="B445" s="88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ht="15.75" customHeight="1">
      <c r="A446" s="88"/>
      <c r="B446" s="88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ht="15.75" customHeight="1">
      <c r="A447" s="88"/>
      <c r="B447" s="88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ht="15.75" customHeight="1">
      <c r="A448" s="88"/>
      <c r="B448" s="88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ht="15.75" customHeight="1">
      <c r="A449" s="88"/>
      <c r="B449" s="88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ht="15.75" customHeight="1">
      <c r="A450" s="88"/>
      <c r="B450" s="88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ht="15.75" customHeight="1">
      <c r="A451" s="88"/>
      <c r="B451" s="88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ht="15.75" customHeight="1">
      <c r="A452" s="88"/>
      <c r="B452" s="88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ht="15.75" customHeight="1">
      <c r="A453" s="88"/>
      <c r="B453" s="88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ht="15.75" customHeight="1">
      <c r="A454" s="88"/>
      <c r="B454" s="88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ht="15.75" customHeight="1">
      <c r="A455" s="88"/>
      <c r="B455" s="88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ht="15.75" customHeight="1">
      <c r="A456" s="88"/>
      <c r="B456" s="88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ht="15.75" customHeight="1">
      <c r="A457" s="88"/>
      <c r="B457" s="88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ht="15.75" customHeight="1">
      <c r="A458" s="88"/>
      <c r="B458" s="88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ht="15.75" customHeight="1">
      <c r="A459" s="88"/>
      <c r="B459" s="88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ht="15.75" customHeight="1">
      <c r="A460" s="88"/>
      <c r="B460" s="88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ht="15.75" customHeight="1">
      <c r="A461" s="88"/>
      <c r="B461" s="88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ht="15.75" customHeight="1">
      <c r="A462" s="88"/>
      <c r="B462" s="88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ht="15.75" customHeight="1">
      <c r="A463" s="88"/>
      <c r="B463" s="88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ht="15.75" customHeight="1">
      <c r="A464" s="88"/>
      <c r="B464" s="88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ht="15.75" customHeight="1">
      <c r="A465" s="88"/>
      <c r="B465" s="88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ht="15.75" customHeight="1">
      <c r="A466" s="88"/>
      <c r="B466" s="88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ht="15.75" customHeight="1">
      <c r="A467" s="88"/>
      <c r="B467" s="88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ht="15.75" customHeight="1">
      <c r="A468" s="88"/>
      <c r="B468" s="88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ht="15.75" customHeight="1">
      <c r="A469" s="88"/>
      <c r="B469" s="88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ht="15.75" customHeight="1">
      <c r="A470" s="88"/>
      <c r="B470" s="88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ht="15.75" customHeight="1">
      <c r="A471" s="88"/>
      <c r="B471" s="88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ht="15.75" customHeight="1">
      <c r="A472" s="88"/>
      <c r="B472" s="88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ht="15.75" customHeight="1">
      <c r="A473" s="88"/>
      <c r="B473" s="88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ht="15.75" customHeight="1">
      <c r="A474" s="88"/>
      <c r="B474" s="88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ht="15.75" customHeight="1">
      <c r="A475" s="88"/>
      <c r="B475" s="88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ht="15.75" customHeight="1">
      <c r="A476" s="88"/>
      <c r="B476" s="88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ht="15.75" customHeight="1">
      <c r="A477" s="88"/>
      <c r="B477" s="88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ht="15.75" customHeight="1">
      <c r="A478" s="88"/>
      <c r="B478" s="88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ht="15.75" customHeight="1">
      <c r="A479" s="88"/>
      <c r="B479" s="88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ht="15.75" customHeight="1">
      <c r="A480" s="88"/>
      <c r="B480" s="88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ht="15.75" customHeight="1">
      <c r="A481" s="88"/>
      <c r="B481" s="88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ht="15.75" customHeight="1">
      <c r="A482" s="88"/>
      <c r="B482" s="88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ht="15.75" customHeight="1">
      <c r="A483" s="88"/>
      <c r="B483" s="88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ht="15.75" customHeight="1">
      <c r="A484" s="88"/>
      <c r="B484" s="88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ht="15.75" customHeight="1">
      <c r="A485" s="88"/>
      <c r="B485" s="88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ht="15.75" customHeight="1">
      <c r="A486" s="88"/>
      <c r="B486" s="88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ht="15.75" customHeight="1">
      <c r="A487" s="88"/>
      <c r="B487" s="88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ht="15.75" customHeight="1">
      <c r="A488" s="88"/>
      <c r="B488" s="88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ht="15.75" customHeight="1">
      <c r="A489" s="88"/>
      <c r="B489" s="88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ht="15.75" customHeight="1">
      <c r="A490" s="88"/>
      <c r="B490" s="88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ht="15.75" customHeight="1">
      <c r="A491" s="88"/>
      <c r="B491" s="88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ht="15.75" customHeight="1">
      <c r="A492" s="88"/>
      <c r="B492" s="88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ht="15.75" customHeight="1">
      <c r="A493" s="88"/>
      <c r="B493" s="88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ht="15.75" customHeight="1">
      <c r="A494" s="88"/>
      <c r="B494" s="88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ht="15.75" customHeight="1">
      <c r="A495" s="88"/>
      <c r="B495" s="88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ht="15.75" customHeight="1">
      <c r="A496" s="88"/>
      <c r="B496" s="88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ht="15.75" customHeight="1">
      <c r="A497" s="88"/>
      <c r="B497" s="88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ht="15.75" customHeight="1">
      <c r="A498" s="88"/>
      <c r="B498" s="88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ht="15.75" customHeight="1">
      <c r="A499" s="88"/>
      <c r="B499" s="88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ht="15.75" customHeight="1">
      <c r="A500" s="88"/>
      <c r="B500" s="88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ht="15.75" customHeight="1">
      <c r="A501" s="88"/>
      <c r="B501" s="88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ht="15.75" customHeight="1">
      <c r="A502" s="88"/>
      <c r="B502" s="88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ht="15.75" customHeight="1">
      <c r="A503" s="88"/>
      <c r="B503" s="88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ht="15.75" customHeight="1">
      <c r="A504" s="88"/>
      <c r="B504" s="88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ht="15.75" customHeight="1">
      <c r="A505" s="88"/>
      <c r="B505" s="88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ht="15.75" customHeight="1">
      <c r="A506" s="88"/>
      <c r="B506" s="88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ht="15.75" customHeight="1">
      <c r="A507" s="88"/>
      <c r="B507" s="88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ht="15.75" customHeight="1">
      <c r="A508" s="88"/>
      <c r="B508" s="88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ht="15.75" customHeight="1">
      <c r="A509" s="88"/>
      <c r="B509" s="88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ht="15.75" customHeight="1">
      <c r="A510" s="88"/>
      <c r="B510" s="88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ht="15.75" customHeight="1">
      <c r="A511" s="88"/>
      <c r="B511" s="88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ht="15.75" customHeight="1">
      <c r="A512" s="88"/>
      <c r="B512" s="88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ht="15.75" customHeight="1">
      <c r="A513" s="88"/>
      <c r="B513" s="88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ht="15.75" customHeight="1">
      <c r="A514" s="88"/>
      <c r="B514" s="88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ht="15.75" customHeight="1">
      <c r="A515" s="88"/>
      <c r="B515" s="88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ht="15.75" customHeight="1">
      <c r="A516" s="88"/>
      <c r="B516" s="88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ht="15.75" customHeight="1">
      <c r="A517" s="88"/>
      <c r="B517" s="88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ht="15.75" customHeight="1">
      <c r="A518" s="88"/>
      <c r="B518" s="88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ht="15.75" customHeight="1">
      <c r="A519" s="88"/>
      <c r="B519" s="88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ht="15.75" customHeight="1">
      <c r="A520" s="88"/>
      <c r="B520" s="88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ht="15.75" customHeight="1">
      <c r="A521" s="88"/>
      <c r="B521" s="88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ht="15.75" customHeight="1">
      <c r="A522" s="88"/>
      <c r="B522" s="88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ht="15.75" customHeight="1">
      <c r="A523" s="88"/>
      <c r="B523" s="88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ht="15.75" customHeight="1">
      <c r="A524" s="88"/>
      <c r="B524" s="88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ht="15.75" customHeight="1">
      <c r="A525" s="88"/>
      <c r="B525" s="88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ht="15.75" customHeight="1">
      <c r="A526" s="88"/>
      <c r="B526" s="88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ht="15.75" customHeight="1">
      <c r="A527" s="88"/>
      <c r="B527" s="88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ht="15.75" customHeight="1">
      <c r="A528" s="88"/>
      <c r="B528" s="88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ht="15.75" customHeight="1">
      <c r="A529" s="88"/>
      <c r="B529" s="88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ht="15.75" customHeight="1">
      <c r="A530" s="88"/>
      <c r="B530" s="88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ht="15.75" customHeight="1">
      <c r="A531" s="88"/>
      <c r="B531" s="88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ht="15.75" customHeight="1">
      <c r="A532" s="88"/>
      <c r="B532" s="88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ht="15.75" customHeight="1">
      <c r="A533" s="88"/>
      <c r="B533" s="88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ht="15.75" customHeight="1">
      <c r="A534" s="88"/>
      <c r="B534" s="88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ht="15.75" customHeight="1">
      <c r="A535" s="88"/>
      <c r="B535" s="88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ht="15.75" customHeight="1">
      <c r="A536" s="88"/>
      <c r="B536" s="88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ht="15.75" customHeight="1">
      <c r="A537" s="88"/>
      <c r="B537" s="88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ht="15.75" customHeight="1">
      <c r="A538" s="88"/>
      <c r="B538" s="88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ht="15.75" customHeight="1">
      <c r="A539" s="88"/>
      <c r="B539" s="88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ht="15.75" customHeight="1">
      <c r="A540" s="88"/>
      <c r="B540" s="88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ht="15.75" customHeight="1">
      <c r="A541" s="88"/>
      <c r="B541" s="88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ht="15.75" customHeight="1">
      <c r="A542" s="88"/>
      <c r="B542" s="88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ht="15.75" customHeight="1">
      <c r="A543" s="88"/>
      <c r="B543" s="88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ht="15.75" customHeight="1">
      <c r="A544" s="88"/>
      <c r="B544" s="88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ht="15.75" customHeight="1">
      <c r="A545" s="88"/>
      <c r="B545" s="88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ht="15.75" customHeight="1">
      <c r="A546" s="88"/>
      <c r="B546" s="88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ht="15.75" customHeight="1">
      <c r="A547" s="88"/>
      <c r="B547" s="88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ht="15.75" customHeight="1">
      <c r="A548" s="88"/>
      <c r="B548" s="88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ht="15.75" customHeight="1">
      <c r="A549" s="88"/>
      <c r="B549" s="88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ht="15.75" customHeight="1">
      <c r="A550" s="88"/>
      <c r="B550" s="88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ht="15.75" customHeight="1">
      <c r="A551" s="88"/>
      <c r="B551" s="88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ht="15.75" customHeight="1">
      <c r="A552" s="88"/>
      <c r="B552" s="88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ht="15.75" customHeight="1">
      <c r="A553" s="88"/>
      <c r="B553" s="88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ht="15.75" customHeight="1">
      <c r="A554" s="88"/>
      <c r="B554" s="88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ht="15.75" customHeight="1">
      <c r="A555" s="88"/>
      <c r="B555" s="88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ht="15.75" customHeight="1">
      <c r="A556" s="88"/>
      <c r="B556" s="88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ht="15.75" customHeight="1">
      <c r="A557" s="88"/>
      <c r="B557" s="88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ht="15.75" customHeight="1">
      <c r="A558" s="88"/>
      <c r="B558" s="88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ht="15.75" customHeight="1">
      <c r="A559" s="88"/>
      <c r="B559" s="88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ht="15.75" customHeight="1">
      <c r="A560" s="88"/>
      <c r="B560" s="88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ht="15.75" customHeight="1">
      <c r="A561" s="88"/>
      <c r="B561" s="88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ht="15.75" customHeight="1">
      <c r="A562" s="88"/>
      <c r="B562" s="88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ht="15.75" customHeight="1">
      <c r="A563" s="88"/>
      <c r="B563" s="88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ht="15.75" customHeight="1">
      <c r="A564" s="88"/>
      <c r="B564" s="88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ht="15.75" customHeight="1">
      <c r="A565" s="88"/>
      <c r="B565" s="88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ht="15.75" customHeight="1">
      <c r="A566" s="88"/>
      <c r="B566" s="88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ht="15.75" customHeight="1">
      <c r="A567" s="88"/>
      <c r="B567" s="88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ht="15.75" customHeight="1">
      <c r="A568" s="88"/>
      <c r="B568" s="88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ht="15.75" customHeight="1">
      <c r="A569" s="88"/>
      <c r="B569" s="88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ht="15.75" customHeight="1">
      <c r="A570" s="88"/>
      <c r="B570" s="88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ht="15.75" customHeight="1">
      <c r="A571" s="88"/>
      <c r="B571" s="88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ht="15.75" customHeight="1">
      <c r="A572" s="88"/>
      <c r="B572" s="88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ht="15.75" customHeight="1">
      <c r="A573" s="88"/>
      <c r="B573" s="88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ht="15.75" customHeight="1">
      <c r="A574" s="88"/>
      <c r="B574" s="88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ht="15.75" customHeight="1">
      <c r="A575" s="88"/>
      <c r="B575" s="88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ht="15.75" customHeight="1">
      <c r="A576" s="88"/>
      <c r="B576" s="88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ht="15.75" customHeight="1">
      <c r="A577" s="88"/>
      <c r="B577" s="88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ht="15.75" customHeight="1">
      <c r="A578" s="88"/>
      <c r="B578" s="88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ht="15.75" customHeight="1">
      <c r="A579" s="88"/>
      <c r="B579" s="88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ht="15.75" customHeight="1">
      <c r="A580" s="88"/>
      <c r="B580" s="88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ht="15.75" customHeight="1">
      <c r="A581" s="88"/>
      <c r="B581" s="88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ht="15.75" customHeight="1">
      <c r="A582" s="88"/>
      <c r="B582" s="88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ht="15.75" customHeight="1">
      <c r="A583" s="88"/>
      <c r="B583" s="88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ht="15.75" customHeight="1">
      <c r="A584" s="88"/>
      <c r="B584" s="88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ht="15.75" customHeight="1">
      <c r="A585" s="88"/>
      <c r="B585" s="88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ht="15.75" customHeight="1">
      <c r="A586" s="88"/>
      <c r="B586" s="88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ht="15.75" customHeight="1">
      <c r="A587" s="88"/>
      <c r="B587" s="88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ht="15.75" customHeight="1">
      <c r="A588" s="88"/>
      <c r="B588" s="88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ht="15.75" customHeight="1">
      <c r="A589" s="88"/>
      <c r="B589" s="88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ht="15.75" customHeight="1">
      <c r="A590" s="88"/>
      <c r="B590" s="88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ht="15.75" customHeight="1">
      <c r="A591" s="88"/>
      <c r="B591" s="88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ht="15.75" customHeight="1">
      <c r="A592" s="88"/>
      <c r="B592" s="88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ht="15.75" customHeight="1">
      <c r="A593" s="88"/>
      <c r="B593" s="88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ht="15.75" customHeight="1">
      <c r="A594" s="88"/>
      <c r="B594" s="88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ht="15.75" customHeight="1">
      <c r="A595" s="88"/>
      <c r="B595" s="88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ht="15.75" customHeight="1">
      <c r="A596" s="88"/>
      <c r="B596" s="88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ht="15.75" customHeight="1">
      <c r="A597" s="88"/>
      <c r="B597" s="88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ht="15.75" customHeight="1">
      <c r="A598" s="88"/>
      <c r="B598" s="88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ht="15.75" customHeight="1">
      <c r="A599" s="88"/>
      <c r="B599" s="88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ht="15.75" customHeight="1">
      <c r="A600" s="88"/>
      <c r="B600" s="88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ht="15.75" customHeight="1">
      <c r="A601" s="88"/>
      <c r="B601" s="88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ht="15.75" customHeight="1">
      <c r="A602" s="88"/>
      <c r="B602" s="88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ht="15.75" customHeight="1">
      <c r="A603" s="88"/>
      <c r="B603" s="88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ht="15.75" customHeight="1">
      <c r="A604" s="88"/>
      <c r="B604" s="88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ht="15.75" customHeight="1">
      <c r="A605" s="88"/>
      <c r="B605" s="88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ht="15.75" customHeight="1">
      <c r="A606" s="88"/>
      <c r="B606" s="88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ht="15.75" customHeight="1">
      <c r="A607" s="88"/>
      <c r="B607" s="88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ht="15.75" customHeight="1">
      <c r="A608" s="88"/>
      <c r="B608" s="88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ht="15.75" customHeight="1">
      <c r="A609" s="88"/>
      <c r="B609" s="88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ht="15.75" customHeight="1">
      <c r="A610" s="88"/>
      <c r="B610" s="88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ht="15.75" customHeight="1">
      <c r="A611" s="88"/>
      <c r="B611" s="88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ht="15.75" customHeight="1">
      <c r="A612" s="88"/>
      <c r="B612" s="88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ht="15.75" customHeight="1">
      <c r="A613" s="88"/>
      <c r="B613" s="88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ht="15.75" customHeight="1">
      <c r="A614" s="88"/>
      <c r="B614" s="88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ht="15.75" customHeight="1">
      <c r="A615" s="88"/>
      <c r="B615" s="88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ht="15.75" customHeight="1">
      <c r="A616" s="88"/>
      <c r="B616" s="88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ht="15.75" customHeight="1">
      <c r="A617" s="88"/>
      <c r="B617" s="88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ht="15.75" customHeight="1">
      <c r="A618" s="88"/>
      <c r="B618" s="88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ht="15.75" customHeight="1">
      <c r="A619" s="88"/>
      <c r="B619" s="88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ht="15.75" customHeight="1">
      <c r="A620" s="88"/>
      <c r="B620" s="88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ht="15.75" customHeight="1">
      <c r="A621" s="88"/>
      <c r="B621" s="88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ht="15.75" customHeight="1">
      <c r="A622" s="88"/>
      <c r="B622" s="88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ht="15.75" customHeight="1">
      <c r="A623" s="88"/>
      <c r="B623" s="88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ht="15.75" customHeight="1">
      <c r="A624" s="88"/>
      <c r="B624" s="88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ht="15.75" customHeight="1">
      <c r="A625" s="88"/>
      <c r="B625" s="88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ht="15.75" customHeight="1">
      <c r="A626" s="88"/>
      <c r="B626" s="88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ht="15.75" customHeight="1">
      <c r="A627" s="88"/>
      <c r="B627" s="88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ht="15.75" customHeight="1">
      <c r="A628" s="88"/>
      <c r="B628" s="88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ht="15.75" customHeight="1">
      <c r="A629" s="88"/>
      <c r="B629" s="88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ht="15.75" customHeight="1">
      <c r="A630" s="88"/>
      <c r="B630" s="88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ht="15.75" customHeight="1">
      <c r="A631" s="88"/>
      <c r="B631" s="88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ht="15.75" customHeight="1">
      <c r="A632" s="88"/>
      <c r="B632" s="88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ht="15.75" customHeight="1">
      <c r="A633" s="88"/>
      <c r="B633" s="88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ht="15.75" customHeight="1">
      <c r="A634" s="88"/>
      <c r="B634" s="88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ht="15.75" customHeight="1">
      <c r="A635" s="88"/>
      <c r="B635" s="88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ht="15.75" customHeight="1">
      <c r="A636" s="88"/>
      <c r="B636" s="88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ht="15.75" customHeight="1">
      <c r="A637" s="88"/>
      <c r="B637" s="88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ht="15.75" customHeight="1">
      <c r="A638" s="88"/>
      <c r="B638" s="88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ht="15.75" customHeight="1">
      <c r="A639" s="88"/>
      <c r="B639" s="88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ht="15.75" customHeight="1">
      <c r="A640" s="88"/>
      <c r="B640" s="88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ht="15.75" customHeight="1">
      <c r="A641" s="88"/>
      <c r="B641" s="88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ht="15.75" customHeight="1">
      <c r="A642" s="88"/>
      <c r="B642" s="88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ht="15.75" customHeight="1">
      <c r="A643" s="88"/>
      <c r="B643" s="88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ht="15.75" customHeight="1">
      <c r="A644" s="88"/>
      <c r="B644" s="88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ht="15.75" customHeight="1">
      <c r="A645" s="88"/>
      <c r="B645" s="88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ht="15.75" customHeight="1">
      <c r="A646" s="88"/>
      <c r="B646" s="88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ht="15.75" customHeight="1">
      <c r="A647" s="88"/>
      <c r="B647" s="88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ht="15.75" customHeight="1">
      <c r="A648" s="88"/>
      <c r="B648" s="88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ht="15.75" customHeight="1">
      <c r="A649" s="88"/>
      <c r="B649" s="88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ht="15.75" customHeight="1">
      <c r="A650" s="88"/>
      <c r="B650" s="88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ht="15.75" customHeight="1">
      <c r="A651" s="88"/>
      <c r="B651" s="88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ht="15.75" customHeight="1">
      <c r="A652" s="88"/>
      <c r="B652" s="88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ht="15.75" customHeight="1">
      <c r="A653" s="88"/>
      <c r="B653" s="88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ht="15.75" customHeight="1">
      <c r="A654" s="88"/>
      <c r="B654" s="88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ht="15.75" customHeight="1">
      <c r="A655" s="88"/>
      <c r="B655" s="88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ht="15.75" customHeight="1">
      <c r="A656" s="88"/>
      <c r="B656" s="88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ht="15.75" customHeight="1">
      <c r="A657" s="88"/>
      <c r="B657" s="88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ht="15.75" customHeight="1">
      <c r="A658" s="88"/>
      <c r="B658" s="88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ht="15.75" customHeight="1">
      <c r="A659" s="88"/>
      <c r="B659" s="88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ht="15.75" customHeight="1">
      <c r="A660" s="88"/>
      <c r="B660" s="88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ht="15.75" customHeight="1">
      <c r="A661" s="88"/>
      <c r="B661" s="88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ht="15.75" customHeight="1">
      <c r="A662" s="88"/>
      <c r="B662" s="88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ht="15.75" customHeight="1">
      <c r="A663" s="88"/>
      <c r="B663" s="88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ht="15.75" customHeight="1">
      <c r="A664" s="88"/>
      <c r="B664" s="88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ht="15.75" customHeight="1">
      <c r="A665" s="88"/>
      <c r="B665" s="88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ht="15.75" customHeight="1">
      <c r="A666" s="88"/>
      <c r="B666" s="88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ht="15.75" customHeight="1">
      <c r="A667" s="88"/>
      <c r="B667" s="88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ht="15.75" customHeight="1">
      <c r="A668" s="88"/>
      <c r="B668" s="88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ht="15.75" customHeight="1">
      <c r="A669" s="88"/>
      <c r="B669" s="88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ht="15.75" customHeight="1">
      <c r="A670" s="88"/>
      <c r="B670" s="88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ht="15.75" customHeight="1">
      <c r="A671" s="88"/>
      <c r="B671" s="88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ht="15.75" customHeight="1">
      <c r="A672" s="88"/>
      <c r="B672" s="88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ht="15.75" customHeight="1">
      <c r="A673" s="88"/>
      <c r="B673" s="88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ht="15.75" customHeight="1">
      <c r="A674" s="88"/>
      <c r="B674" s="88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ht="15.75" customHeight="1">
      <c r="A675" s="88"/>
      <c r="B675" s="88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ht="15.75" customHeight="1">
      <c r="A676" s="88"/>
      <c r="B676" s="88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ht="15.75" customHeight="1">
      <c r="A677" s="88"/>
      <c r="B677" s="88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ht="15.75" customHeight="1">
      <c r="A678" s="88"/>
      <c r="B678" s="88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ht="15.75" customHeight="1">
      <c r="A679" s="88"/>
      <c r="B679" s="88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ht="15.75" customHeight="1">
      <c r="A680" s="88"/>
      <c r="B680" s="88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ht="15.75" customHeight="1">
      <c r="A681" s="88"/>
      <c r="B681" s="88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ht="15.75" customHeight="1">
      <c r="A682" s="88"/>
      <c r="B682" s="88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ht="15.75" customHeight="1">
      <c r="A683" s="88"/>
      <c r="B683" s="88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ht="15.75" customHeight="1">
      <c r="A684" s="88"/>
      <c r="B684" s="88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ht="15.75" customHeight="1">
      <c r="A685" s="88"/>
      <c r="B685" s="88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ht="15.75" customHeight="1">
      <c r="A686" s="88"/>
      <c r="B686" s="88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ht="15.75" customHeight="1">
      <c r="A687" s="88"/>
      <c r="B687" s="88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ht="15.75" customHeight="1">
      <c r="A688" s="88"/>
      <c r="B688" s="88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ht="15.75" customHeight="1">
      <c r="A689" s="88"/>
      <c r="B689" s="88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ht="15.75" customHeight="1">
      <c r="A690" s="88"/>
      <c r="B690" s="88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ht="15.75" customHeight="1">
      <c r="A691" s="88"/>
      <c r="B691" s="88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ht="15.75" customHeight="1">
      <c r="A692" s="88"/>
      <c r="B692" s="88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ht="15.75" customHeight="1">
      <c r="A693" s="88"/>
      <c r="B693" s="88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ht="15.75" customHeight="1">
      <c r="A694" s="88"/>
      <c r="B694" s="88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ht="15.75" customHeight="1">
      <c r="A695" s="88"/>
      <c r="B695" s="88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ht="15.75" customHeight="1">
      <c r="A696" s="88"/>
      <c r="B696" s="88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ht="15.75" customHeight="1">
      <c r="A697" s="88"/>
      <c r="B697" s="88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ht="15.75" customHeight="1">
      <c r="A698" s="88"/>
      <c r="B698" s="88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ht="15.75" customHeight="1">
      <c r="A699" s="88"/>
      <c r="B699" s="88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ht="15.75" customHeight="1">
      <c r="A700" s="88"/>
      <c r="B700" s="88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ht="15.75" customHeight="1">
      <c r="A701" s="88"/>
      <c r="B701" s="88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ht="15.75" customHeight="1">
      <c r="A702" s="88"/>
      <c r="B702" s="88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ht="15.75" customHeight="1">
      <c r="A703" s="88"/>
      <c r="B703" s="88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ht="15.75" customHeight="1">
      <c r="A704" s="88"/>
      <c r="B704" s="88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ht="15.75" customHeight="1">
      <c r="A705" s="88"/>
      <c r="B705" s="88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ht="15.75" customHeight="1">
      <c r="A706" s="88"/>
      <c r="B706" s="88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ht="15.75" customHeight="1">
      <c r="A707" s="88"/>
      <c r="B707" s="88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ht="15.75" customHeight="1">
      <c r="A708" s="88"/>
      <c r="B708" s="88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ht="15.75" customHeight="1">
      <c r="A709" s="88"/>
      <c r="B709" s="88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ht="15.75" customHeight="1">
      <c r="A710" s="88"/>
      <c r="B710" s="88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ht="15.75" customHeight="1">
      <c r="A711" s="88"/>
      <c r="B711" s="88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ht="15.75" customHeight="1">
      <c r="A712" s="88"/>
      <c r="B712" s="88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ht="15.75" customHeight="1">
      <c r="A713" s="88"/>
      <c r="B713" s="88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ht="15.75" customHeight="1">
      <c r="A714" s="88"/>
      <c r="B714" s="88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ht="15.75" customHeight="1">
      <c r="A715" s="88"/>
      <c r="B715" s="88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ht="15.75" customHeight="1">
      <c r="A716" s="88"/>
      <c r="B716" s="88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ht="15.75" customHeight="1">
      <c r="A717" s="88"/>
      <c r="B717" s="88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ht="15.75" customHeight="1">
      <c r="A718" s="88"/>
      <c r="B718" s="88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ht="15.75" customHeight="1">
      <c r="A719" s="88"/>
      <c r="B719" s="88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ht="15.75" customHeight="1">
      <c r="A720" s="88"/>
      <c r="B720" s="88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ht="15.75" customHeight="1">
      <c r="A721" s="88"/>
      <c r="B721" s="88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ht="15.75" customHeight="1">
      <c r="A722" s="88"/>
      <c r="B722" s="88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ht="15.75" customHeight="1">
      <c r="A723" s="88"/>
      <c r="B723" s="88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ht="15.75" customHeight="1">
      <c r="A724" s="88"/>
      <c r="B724" s="88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ht="15.75" customHeight="1">
      <c r="A725" s="88"/>
      <c r="B725" s="88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ht="15.75" customHeight="1">
      <c r="A726" s="88"/>
      <c r="B726" s="88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ht="15.75" customHeight="1">
      <c r="A727" s="88"/>
      <c r="B727" s="88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ht="15.75" customHeight="1">
      <c r="A728" s="88"/>
      <c r="B728" s="88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ht="15.75" customHeight="1">
      <c r="A729" s="88"/>
      <c r="B729" s="88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ht="15.75" customHeight="1">
      <c r="A730" s="88"/>
      <c r="B730" s="88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ht="15.75" customHeight="1">
      <c r="A731" s="88"/>
      <c r="B731" s="88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ht="15.75" customHeight="1">
      <c r="A732" s="88"/>
      <c r="B732" s="88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ht="15.75" customHeight="1">
      <c r="A733" s="88"/>
      <c r="B733" s="88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ht="15.75" customHeight="1">
      <c r="A734" s="88"/>
      <c r="B734" s="88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ht="15.75" customHeight="1">
      <c r="A735" s="88"/>
      <c r="B735" s="88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ht="15.75" customHeight="1">
      <c r="A736" s="88"/>
      <c r="B736" s="88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ht="15.75" customHeight="1">
      <c r="A737" s="88"/>
      <c r="B737" s="88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ht="15.75" customHeight="1">
      <c r="A738" s="88"/>
      <c r="B738" s="88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ht="15.75" customHeight="1">
      <c r="A739" s="88"/>
      <c r="B739" s="88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ht="15.75" customHeight="1">
      <c r="A740" s="88"/>
      <c r="B740" s="88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ht="15.75" customHeight="1">
      <c r="A741" s="88"/>
      <c r="B741" s="88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ht="15.75" customHeight="1">
      <c r="A742" s="88"/>
      <c r="B742" s="88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ht="15.75" customHeight="1">
      <c r="A743" s="88"/>
      <c r="B743" s="88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ht="15.75" customHeight="1">
      <c r="A744" s="88"/>
      <c r="B744" s="88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ht="15.75" customHeight="1">
      <c r="A745" s="88"/>
      <c r="B745" s="88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ht="15.75" customHeight="1">
      <c r="A746" s="88"/>
      <c r="B746" s="88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ht="15.75" customHeight="1">
      <c r="A747" s="88"/>
      <c r="B747" s="88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ht="15.75" customHeight="1">
      <c r="A748" s="88"/>
      <c r="B748" s="88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ht="15.75" customHeight="1">
      <c r="A749" s="88"/>
      <c r="B749" s="88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ht="15.75" customHeight="1">
      <c r="A750" s="88"/>
      <c r="B750" s="88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ht="15.75" customHeight="1">
      <c r="A751" s="88"/>
      <c r="B751" s="88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ht="15.75" customHeight="1">
      <c r="A752" s="88"/>
      <c r="B752" s="88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ht="15.75" customHeight="1">
      <c r="A753" s="88"/>
      <c r="B753" s="88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ht="15.75" customHeight="1">
      <c r="A754" s="88"/>
      <c r="B754" s="88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ht="15.75" customHeight="1">
      <c r="A755" s="88"/>
      <c r="B755" s="88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ht="15.75" customHeight="1">
      <c r="A756" s="88"/>
      <c r="B756" s="88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ht="15.75" customHeight="1">
      <c r="A757" s="88"/>
      <c r="B757" s="88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ht="15.75" customHeight="1">
      <c r="A758" s="88"/>
      <c r="B758" s="88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ht="15.75" customHeight="1">
      <c r="A759" s="88"/>
      <c r="B759" s="88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ht="15.75" customHeight="1">
      <c r="A760" s="88"/>
      <c r="B760" s="88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ht="15.75" customHeight="1">
      <c r="A761" s="88"/>
      <c r="B761" s="88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ht="15.75" customHeight="1">
      <c r="A762" s="88"/>
      <c r="B762" s="88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ht="15.75" customHeight="1">
      <c r="A763" s="88"/>
      <c r="B763" s="88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ht="15.75" customHeight="1">
      <c r="A764" s="88"/>
      <c r="B764" s="88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ht="15.75" customHeight="1">
      <c r="A765" s="88"/>
      <c r="B765" s="88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ht="15.75" customHeight="1">
      <c r="A766" s="88"/>
      <c r="B766" s="88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ht="15.75" customHeight="1">
      <c r="A767" s="88"/>
      <c r="B767" s="88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ht="15.75" customHeight="1">
      <c r="A768" s="88"/>
      <c r="B768" s="88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ht="15.75" customHeight="1">
      <c r="A769" s="88"/>
      <c r="B769" s="88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ht="15.75" customHeight="1">
      <c r="A770" s="88"/>
      <c r="B770" s="88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ht="15.75" customHeight="1">
      <c r="A771" s="88"/>
      <c r="B771" s="88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ht="15.75" customHeight="1">
      <c r="A772" s="88"/>
      <c r="B772" s="88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ht="15.75" customHeight="1">
      <c r="A773" s="88"/>
      <c r="B773" s="88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ht="15.75" customHeight="1">
      <c r="A774" s="88"/>
      <c r="B774" s="88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ht="15.75" customHeight="1">
      <c r="A775" s="88"/>
      <c r="B775" s="88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ht="15.75" customHeight="1">
      <c r="A776" s="88"/>
      <c r="B776" s="88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ht="15.75" customHeight="1">
      <c r="A777" s="88"/>
      <c r="B777" s="88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ht="15.75" customHeight="1">
      <c r="A778" s="88"/>
      <c r="B778" s="88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ht="15.75" customHeight="1">
      <c r="A779" s="88"/>
      <c r="B779" s="88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ht="15.75" customHeight="1">
      <c r="A780" s="88"/>
      <c r="B780" s="88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ht="15.75" customHeight="1">
      <c r="A781" s="88"/>
      <c r="B781" s="88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ht="15.75" customHeight="1">
      <c r="A782" s="88"/>
      <c r="B782" s="88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ht="15.75" customHeight="1">
      <c r="A783" s="88"/>
      <c r="B783" s="88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ht="15.75" customHeight="1">
      <c r="A784" s="88"/>
      <c r="B784" s="88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ht="15.75" customHeight="1">
      <c r="A785" s="88"/>
      <c r="B785" s="88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ht="15.75" customHeight="1">
      <c r="A786" s="88"/>
      <c r="B786" s="88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ht="15.75" customHeight="1">
      <c r="A787" s="88"/>
      <c r="B787" s="88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ht="15.75" customHeight="1">
      <c r="A788" s="88"/>
      <c r="B788" s="88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ht="15.75" customHeight="1">
      <c r="A789" s="88"/>
      <c r="B789" s="88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ht="15.75" customHeight="1">
      <c r="A790" s="88"/>
      <c r="B790" s="88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ht="15.75" customHeight="1">
      <c r="A791" s="88"/>
      <c r="B791" s="88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ht="15.75" customHeight="1">
      <c r="A792" s="88"/>
      <c r="B792" s="88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ht="15.75" customHeight="1">
      <c r="A793" s="88"/>
      <c r="B793" s="88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ht="15.75" customHeight="1">
      <c r="A794" s="88"/>
      <c r="B794" s="88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ht="15.75" customHeight="1">
      <c r="A795" s="88"/>
      <c r="B795" s="88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ht="15.75" customHeight="1">
      <c r="A796" s="88"/>
      <c r="B796" s="88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ht="15.75" customHeight="1">
      <c r="A797" s="88"/>
      <c r="B797" s="88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ht="15.75" customHeight="1">
      <c r="A798" s="88"/>
      <c r="B798" s="88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ht="15.75" customHeight="1">
      <c r="A799" s="88"/>
      <c r="B799" s="88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ht="15.75" customHeight="1">
      <c r="A800" s="88"/>
      <c r="B800" s="88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ht="15.75" customHeight="1">
      <c r="A801" s="88"/>
      <c r="B801" s="88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ht="15.75" customHeight="1">
      <c r="A802" s="88"/>
      <c r="B802" s="88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ht="15.75" customHeight="1">
      <c r="A803" s="88"/>
      <c r="B803" s="88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ht="15.75" customHeight="1">
      <c r="A804" s="88"/>
      <c r="B804" s="88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ht="15.75" customHeight="1">
      <c r="A805" s="88"/>
      <c r="B805" s="88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ht="15.75" customHeight="1">
      <c r="A806" s="88"/>
      <c r="B806" s="88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ht="15.75" customHeight="1">
      <c r="A807" s="88"/>
      <c r="B807" s="88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ht="15.75" customHeight="1">
      <c r="A808" s="88"/>
      <c r="B808" s="88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ht="15.75" customHeight="1">
      <c r="A809" s="88"/>
      <c r="B809" s="88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ht="15.75" customHeight="1">
      <c r="A810" s="88"/>
      <c r="B810" s="88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ht="15.75" customHeight="1">
      <c r="A811" s="88"/>
      <c r="B811" s="88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ht="15.75" customHeight="1">
      <c r="A812" s="88"/>
      <c r="B812" s="88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ht="15.75" customHeight="1">
      <c r="A813" s="88"/>
      <c r="B813" s="88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ht="15.75" customHeight="1">
      <c r="A814" s="88"/>
      <c r="B814" s="88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ht="15.75" customHeight="1">
      <c r="A815" s="88"/>
      <c r="B815" s="88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ht="15.75" customHeight="1">
      <c r="A816" s="88"/>
      <c r="B816" s="88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ht="15.75" customHeight="1">
      <c r="A817" s="88"/>
      <c r="B817" s="88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ht="15.75" customHeight="1">
      <c r="A818" s="88"/>
      <c r="B818" s="88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ht="15.75" customHeight="1">
      <c r="A819" s="88"/>
      <c r="B819" s="88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ht="15.75" customHeight="1">
      <c r="A820" s="88"/>
      <c r="B820" s="88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ht="15.75" customHeight="1">
      <c r="A821" s="88"/>
      <c r="B821" s="88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ht="15.75" customHeight="1">
      <c r="A822" s="88"/>
      <c r="B822" s="88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ht="15.75" customHeight="1">
      <c r="A823" s="88"/>
      <c r="B823" s="88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ht="15.75" customHeight="1">
      <c r="A824" s="88"/>
      <c r="B824" s="88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ht="15.75" customHeight="1">
      <c r="A825" s="88"/>
      <c r="B825" s="88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ht="15.75" customHeight="1">
      <c r="A826" s="88"/>
      <c r="B826" s="88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ht="15.75" customHeight="1">
      <c r="A827" s="88"/>
      <c r="B827" s="88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ht="15.75" customHeight="1">
      <c r="A828" s="88"/>
      <c r="B828" s="88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ht="15.75" customHeight="1">
      <c r="A829" s="88"/>
      <c r="B829" s="88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ht="15.75" customHeight="1">
      <c r="A830" s="88"/>
      <c r="B830" s="88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ht="15.75" customHeight="1">
      <c r="A831" s="88"/>
      <c r="B831" s="88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ht="15.75" customHeight="1">
      <c r="A832" s="88"/>
      <c r="B832" s="88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ht="15.75" customHeight="1">
      <c r="A833" s="88"/>
      <c r="B833" s="88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ht="15.75" customHeight="1">
      <c r="A834" s="88"/>
      <c r="B834" s="88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ht="15.75" customHeight="1">
      <c r="A835" s="88"/>
      <c r="B835" s="88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ht="15.75" customHeight="1">
      <c r="A836" s="88"/>
      <c r="B836" s="88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ht="15.75" customHeight="1">
      <c r="A837" s="88"/>
      <c r="B837" s="88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ht="15.75" customHeight="1">
      <c r="A838" s="88"/>
      <c r="B838" s="88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ht="15.75" customHeight="1">
      <c r="A839" s="88"/>
      <c r="B839" s="88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ht="15.75" customHeight="1">
      <c r="A840" s="88"/>
      <c r="B840" s="88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ht="15.75" customHeight="1">
      <c r="A841" s="88"/>
      <c r="B841" s="88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ht="15.75" customHeight="1">
      <c r="A842" s="88"/>
      <c r="B842" s="88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ht="15.75" customHeight="1">
      <c r="A843" s="88"/>
      <c r="B843" s="88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ht="15.75" customHeight="1">
      <c r="A844" s="88"/>
      <c r="B844" s="88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ht="15.75" customHeight="1">
      <c r="A845" s="88"/>
      <c r="B845" s="88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ht="15.75" customHeight="1">
      <c r="A846" s="88"/>
      <c r="B846" s="88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ht="15.75" customHeight="1">
      <c r="A847" s="88"/>
      <c r="B847" s="88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ht="15.75" customHeight="1">
      <c r="A848" s="88"/>
      <c r="B848" s="88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ht="15.75" customHeight="1">
      <c r="A849" s="88"/>
      <c r="B849" s="88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ht="15.75" customHeight="1">
      <c r="A850" s="88"/>
      <c r="B850" s="88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ht="15.75" customHeight="1">
      <c r="A851" s="88"/>
      <c r="B851" s="88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ht="15.75" customHeight="1">
      <c r="A852" s="88"/>
      <c r="B852" s="88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ht="15.75" customHeight="1">
      <c r="A853" s="88"/>
      <c r="B853" s="88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ht="15.75" customHeight="1">
      <c r="A854" s="88"/>
      <c r="B854" s="88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ht="15.75" customHeight="1">
      <c r="A855" s="88"/>
      <c r="B855" s="88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ht="15.75" customHeight="1">
      <c r="A856" s="88"/>
      <c r="B856" s="88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ht="15.75" customHeight="1">
      <c r="A857" s="88"/>
      <c r="B857" s="88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ht="15.75" customHeight="1">
      <c r="A858" s="88"/>
      <c r="B858" s="88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ht="15.75" customHeight="1">
      <c r="A859" s="88"/>
      <c r="B859" s="88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ht="15.75" customHeight="1">
      <c r="A860" s="88"/>
      <c r="B860" s="88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ht="15.75" customHeight="1">
      <c r="A861" s="88"/>
      <c r="B861" s="88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ht="15.75" customHeight="1">
      <c r="A862" s="88"/>
      <c r="B862" s="88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ht="15.75" customHeight="1">
      <c r="A863" s="88"/>
      <c r="B863" s="88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ht="15.75" customHeight="1">
      <c r="A864" s="88"/>
      <c r="B864" s="88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ht="15.75" customHeight="1">
      <c r="A865" s="88"/>
      <c r="B865" s="88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ht="15.75" customHeight="1">
      <c r="A866" s="88"/>
      <c r="B866" s="88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ht="15.75" customHeight="1">
      <c r="A867" s="88"/>
      <c r="B867" s="88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ht="15.75" customHeight="1">
      <c r="A868" s="88"/>
      <c r="B868" s="88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ht="15.75" customHeight="1">
      <c r="A869" s="88"/>
      <c r="B869" s="88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ht="15.75" customHeight="1">
      <c r="A870" s="88"/>
      <c r="B870" s="88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ht="15.75" customHeight="1">
      <c r="A871" s="88"/>
      <c r="B871" s="88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ht="15.75" customHeight="1">
      <c r="A872" s="88"/>
      <c r="B872" s="88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ht="15.75" customHeight="1">
      <c r="A873" s="88"/>
      <c r="B873" s="88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ht="15.75" customHeight="1">
      <c r="A874" s="88"/>
      <c r="B874" s="88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ht="15.75" customHeight="1">
      <c r="A875" s="88"/>
      <c r="B875" s="88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ht="15.75" customHeight="1">
      <c r="A876" s="88"/>
      <c r="B876" s="88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ht="15.75" customHeight="1">
      <c r="A877" s="88"/>
      <c r="B877" s="88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ht="15.75" customHeight="1">
      <c r="A878" s="88"/>
      <c r="B878" s="88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ht="15.75" customHeight="1">
      <c r="A879" s="88"/>
      <c r="B879" s="88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ht="15.75" customHeight="1">
      <c r="A880" s="88"/>
      <c r="B880" s="88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ht="15.75" customHeight="1">
      <c r="A881" s="88"/>
      <c r="B881" s="88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ht="15.75" customHeight="1">
      <c r="A882" s="88"/>
      <c r="B882" s="88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ht="15.75" customHeight="1">
      <c r="A883" s="88"/>
      <c r="B883" s="88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ht="15.75" customHeight="1">
      <c r="A884" s="88"/>
      <c r="B884" s="88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ht="15.75" customHeight="1">
      <c r="A885" s="88"/>
      <c r="B885" s="88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ht="15.75" customHeight="1">
      <c r="A886" s="88"/>
      <c r="B886" s="88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ht="15.75" customHeight="1">
      <c r="A887" s="88"/>
      <c r="B887" s="88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ht="15.75" customHeight="1">
      <c r="A888" s="88"/>
      <c r="B888" s="88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ht="15.75" customHeight="1">
      <c r="A889" s="88"/>
      <c r="B889" s="88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ht="15.75" customHeight="1">
      <c r="A890" s="88"/>
      <c r="B890" s="88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ht="15.75" customHeight="1">
      <c r="A891" s="88"/>
      <c r="B891" s="88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ht="15.75" customHeight="1">
      <c r="A892" s="88"/>
      <c r="B892" s="88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ht="15.75" customHeight="1">
      <c r="A893" s="88"/>
      <c r="B893" s="88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ht="15.75" customHeight="1">
      <c r="A894" s="88"/>
      <c r="B894" s="88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ht="15.75" customHeight="1">
      <c r="A895" s="88"/>
      <c r="B895" s="88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ht="15.75" customHeight="1">
      <c r="A896" s="88"/>
      <c r="B896" s="88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ht="15.75" customHeight="1">
      <c r="A897" s="88"/>
      <c r="B897" s="88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ht="15.75" customHeight="1">
      <c r="A898" s="88"/>
      <c r="B898" s="88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ht="15.75" customHeight="1">
      <c r="A899" s="88"/>
      <c r="B899" s="88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ht="15.75" customHeight="1">
      <c r="A900" s="88"/>
      <c r="B900" s="88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ht="15.75" customHeight="1">
      <c r="A901" s="88"/>
      <c r="B901" s="88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ht="15.75" customHeight="1">
      <c r="A902" s="88"/>
      <c r="B902" s="88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ht="15.75" customHeight="1">
      <c r="A903" s="88"/>
      <c r="B903" s="88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ht="15.75" customHeight="1">
      <c r="A904" s="88"/>
      <c r="B904" s="88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ht="15.75" customHeight="1">
      <c r="A905" s="88"/>
      <c r="B905" s="88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ht="15.75" customHeight="1">
      <c r="A906" s="88"/>
      <c r="B906" s="88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ht="15.75" customHeight="1">
      <c r="A907" s="88"/>
      <c r="B907" s="88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ht="15.75" customHeight="1">
      <c r="A908" s="88"/>
      <c r="B908" s="88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ht="15.75" customHeight="1">
      <c r="A909" s="88"/>
      <c r="B909" s="88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ht="15.75" customHeight="1">
      <c r="A910" s="88"/>
      <c r="B910" s="88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ht="15.75" customHeight="1">
      <c r="A911" s="88"/>
      <c r="B911" s="88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ht="15.75" customHeight="1">
      <c r="A912" s="88"/>
      <c r="B912" s="88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ht="15.75" customHeight="1">
      <c r="A913" s="88"/>
      <c r="B913" s="88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ht="15.75" customHeight="1">
      <c r="A914" s="88"/>
      <c r="B914" s="88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ht="15.75" customHeight="1">
      <c r="A915" s="88"/>
      <c r="B915" s="88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ht="15.75" customHeight="1">
      <c r="A916" s="88"/>
      <c r="B916" s="88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ht="15.75" customHeight="1">
      <c r="A917" s="88"/>
      <c r="B917" s="88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ht="15.75" customHeight="1">
      <c r="A918" s="88"/>
      <c r="B918" s="88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ht="15.75" customHeight="1">
      <c r="A919" s="88"/>
      <c r="B919" s="88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ht="15.75" customHeight="1">
      <c r="A920" s="88"/>
      <c r="B920" s="88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ht="15.75" customHeight="1">
      <c r="A921" s="88"/>
      <c r="B921" s="88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ht="15.75" customHeight="1">
      <c r="A922" s="88"/>
      <c r="B922" s="88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ht="15.75" customHeight="1">
      <c r="A923" s="88"/>
      <c r="B923" s="88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ht="15.75" customHeight="1">
      <c r="A924" s="88"/>
      <c r="B924" s="88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ht="15.75" customHeight="1">
      <c r="A925" s="88"/>
      <c r="B925" s="88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ht="15.75" customHeight="1">
      <c r="A926" s="88"/>
      <c r="B926" s="88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ht="15.75" customHeight="1">
      <c r="A927" s="88"/>
      <c r="B927" s="88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ht="15.75" customHeight="1">
      <c r="A928" s="88"/>
      <c r="B928" s="88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ht="15.75" customHeight="1">
      <c r="A929" s="88"/>
      <c r="B929" s="88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ht="15.75" customHeight="1">
      <c r="A930" s="88"/>
      <c r="B930" s="88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ht="15.75" customHeight="1">
      <c r="A931" s="88"/>
      <c r="B931" s="88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ht="15.75" customHeight="1">
      <c r="A932" s="88"/>
      <c r="B932" s="88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ht="15.75" customHeight="1">
      <c r="A933" s="88"/>
      <c r="B933" s="88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ht="15.75" customHeight="1">
      <c r="A934" s="88"/>
      <c r="B934" s="88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ht="15.75" customHeight="1">
      <c r="A935" s="88"/>
      <c r="B935" s="88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ht="15.75" customHeight="1">
      <c r="A936" s="88"/>
      <c r="B936" s="88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ht="15.75" customHeight="1">
      <c r="A937" s="88"/>
      <c r="B937" s="88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ht="15.75" customHeight="1">
      <c r="A938" s="88"/>
      <c r="B938" s="88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ht="15.75" customHeight="1">
      <c r="A939" s="88"/>
      <c r="B939" s="88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ht="15.75" customHeight="1">
      <c r="A940" s="88"/>
      <c r="B940" s="88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ht="15.75" customHeight="1">
      <c r="A941" s="88"/>
      <c r="B941" s="88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ht="15.75" customHeight="1">
      <c r="A942" s="88"/>
      <c r="B942" s="88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ht="15.75" customHeight="1">
      <c r="A943" s="88"/>
      <c r="B943" s="88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ht="15.75" customHeight="1">
      <c r="A944" s="88"/>
      <c r="B944" s="88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ht="15.75" customHeight="1">
      <c r="A945" s="88"/>
      <c r="B945" s="88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ht="15.75" customHeight="1">
      <c r="A946" s="88"/>
      <c r="B946" s="88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ht="15.75" customHeight="1">
      <c r="A947" s="88"/>
      <c r="B947" s="88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ht="15.75" customHeight="1">
      <c r="A948" s="88"/>
      <c r="B948" s="88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ht="15.75" customHeight="1">
      <c r="A949" s="88"/>
      <c r="B949" s="88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ht="15.75" customHeight="1">
      <c r="A950" s="88"/>
      <c r="B950" s="88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ht="15.75" customHeight="1">
      <c r="A951" s="88"/>
      <c r="B951" s="88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ht="15.75" customHeight="1">
      <c r="A952" s="88"/>
      <c r="B952" s="88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ht="15.75" customHeight="1">
      <c r="A953" s="88"/>
      <c r="B953" s="88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ht="15.75" customHeight="1">
      <c r="A954" s="88"/>
      <c r="B954" s="88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ht="15.75" customHeight="1">
      <c r="A955" s="88"/>
      <c r="B955" s="88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ht="15.75" customHeight="1">
      <c r="A956" s="88"/>
      <c r="B956" s="88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ht="15.75" customHeight="1">
      <c r="A957" s="88"/>
      <c r="B957" s="88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ht="15.75" customHeight="1">
      <c r="A958" s="88"/>
      <c r="B958" s="88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ht="15.75" customHeight="1">
      <c r="A959" s="88"/>
      <c r="B959" s="88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ht="15.75" customHeight="1">
      <c r="A960" s="88"/>
      <c r="B960" s="88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ht="15.75" customHeight="1">
      <c r="A961" s="88"/>
      <c r="B961" s="88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ht="15.75" customHeight="1">
      <c r="A962" s="88"/>
      <c r="B962" s="88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ht="15.75" customHeight="1">
      <c r="A963" s="88"/>
      <c r="B963" s="88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ht="15.75" customHeight="1">
      <c r="A964" s="88"/>
      <c r="B964" s="88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ht="15.75" customHeight="1">
      <c r="A965" s="88"/>
      <c r="B965" s="88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ht="15.75" customHeight="1">
      <c r="A966" s="88"/>
      <c r="B966" s="88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ht="15.75" customHeight="1">
      <c r="A967" s="88"/>
      <c r="B967" s="88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ht="15.75" customHeight="1">
      <c r="A968" s="88"/>
      <c r="B968" s="88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ht="15.75" customHeight="1">
      <c r="A969" s="88"/>
      <c r="B969" s="88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ht="15.75" customHeight="1">
      <c r="A970" s="88"/>
      <c r="B970" s="88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ht="15.75" customHeight="1">
      <c r="A971" s="88"/>
      <c r="B971" s="88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ht="15.75" customHeight="1">
      <c r="A972" s="88"/>
      <c r="B972" s="88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ht="15.75" customHeight="1">
      <c r="A973" s="88"/>
      <c r="B973" s="88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ht="15.75" customHeight="1">
      <c r="A974" s="88"/>
      <c r="B974" s="88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ht="15.75" customHeight="1">
      <c r="A975" s="88"/>
      <c r="B975" s="88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ht="15.75" customHeight="1">
      <c r="A976" s="88"/>
      <c r="B976" s="88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ht="15.75" customHeight="1">
      <c r="A977" s="88"/>
      <c r="B977" s="88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ht="15.75" customHeight="1">
      <c r="A978" s="88"/>
      <c r="B978" s="88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ht="15.75" customHeight="1">
      <c r="A979" s="88"/>
      <c r="B979" s="88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ht="15.75" customHeight="1">
      <c r="A980" s="88"/>
      <c r="B980" s="88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ht="15.75" customHeight="1">
      <c r="A981" s="88"/>
      <c r="B981" s="88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ht="15.75" customHeight="1">
      <c r="A982" s="88"/>
      <c r="B982" s="88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ht="15.75" customHeight="1">
      <c r="A983" s="88"/>
      <c r="B983" s="88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ht="15.75" customHeight="1">
      <c r="A984" s="88"/>
      <c r="B984" s="88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ht="15.75" customHeight="1">
      <c r="A985" s="88"/>
      <c r="B985" s="88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ht="15.75" customHeight="1">
      <c r="A986" s="88"/>
      <c r="B986" s="88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ht="15.75" customHeight="1">
      <c r="A987" s="88"/>
      <c r="B987" s="88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ht="15.75" customHeight="1">
      <c r="A988" s="88"/>
      <c r="B988" s="88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ht="15.75" customHeight="1">
      <c r="A989" s="88"/>
      <c r="B989" s="88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ht="15.75" customHeight="1">
      <c r="A990" s="88"/>
      <c r="B990" s="88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ht="15.75" customHeight="1">
      <c r="A991" s="88"/>
      <c r="B991" s="88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ht="15.75" customHeight="1">
      <c r="A992" s="88"/>
      <c r="B992" s="88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ht="15.75" customHeight="1">
      <c r="A993" s="88"/>
      <c r="B993" s="88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ht="15.75" customHeight="1">
      <c r="A994" s="88"/>
      <c r="B994" s="88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ht="15.75" customHeight="1">
      <c r="A995" s="88"/>
      <c r="B995" s="88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ht="15.75" customHeight="1">
      <c r="A996" s="88"/>
      <c r="B996" s="88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ht="15.75" customHeight="1">
      <c r="A997" s="88"/>
      <c r="B997" s="88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ht="15.75" customHeight="1">
      <c r="A998" s="88"/>
      <c r="B998" s="88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ht="15.75" customHeight="1">
      <c r="A999" s="88"/>
      <c r="B999" s="88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ht="15.75" customHeight="1">
      <c r="A1000" s="88"/>
      <c r="B1000" s="88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printOptions/>
  <pageMargins bottom="0.75" footer="0.0" header="0.0" left="0.7" right="0.7" top="0.75"/>
  <pageSetup orientation="landscape"/>
  <drawing r:id="rId1"/>
</worksheet>
</file>